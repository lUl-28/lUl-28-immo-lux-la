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Présentation" state="visible" r:id="rId4"/>
    <sheet sheetId="2" name="Paramètres" state="visible" r:id="rId5"/>
    <sheet sheetId="3" name="Synthèse" state="visible" r:id="rId6"/>
    <sheet sheetId="4" name="Prévisionnel 20 ans" state="visible" r:id="rId7"/>
    <sheet sheetId="5" name="Amortissement" state="visible" r:id="rId8"/>
    <sheet sheetId="6" name="Revente &amp; Plus-value" state="visible" r:id="rId9"/>
  </sheets>
  <calcPr calcId="171027"/>
</workbook>
</file>

<file path=xl/sharedStrings.xml><?xml version="1.0" encoding="utf-8"?>
<sst xmlns="http://schemas.openxmlformats.org/spreadsheetml/2006/main" count="174" uniqueCount="150">
  <si>
    <t>BUSINESS PLAN — SCI L&amp;A</t>
  </si>
  <si>
    <t>Investissement immobilier locatif — Zone frontalière luxembourgeoise</t>
  </si>
  <si>
    <t>Associés</t>
  </si>
  <si>
    <t>Lucas Lamquet &amp; Adrien Fleuriot</t>
  </si>
  <si>
    <t>Structure juridique</t>
  </si>
  <si>
    <t>SCI à l'IS (Société Civile Immobilière)</t>
  </si>
  <si>
    <t>Répartition des parts</t>
  </si>
  <si>
    <t>50 % Lucas Lamquet  /  50 % Adrien Fleuriot</t>
  </si>
  <si>
    <t>Statut SCI</t>
  </si>
  <si>
    <t>À constituer</t>
  </si>
  <si>
    <t>Zone d'investissement</t>
  </si>
  <si>
    <t>Rayon 60 km — Frontière luxembourgeoise (54 / 57 / 55)</t>
  </si>
  <si>
    <t>Bien ciblé</t>
  </si>
  <si>
    <t>Maison ou immeuble ≥ 100 m² — Division en 2 lots T2</t>
  </si>
  <si>
    <t>Stratégie</t>
  </si>
  <si>
    <t>Revenus locatifs + plus-value à la revente</t>
  </si>
  <si>
    <t>Date du document</t>
  </si>
  <si>
    <t>11 mars 2026</t>
  </si>
  <si>
    <t>DESCRIPTION DU PROJET</t>
  </si>
  <si>
    <t>La SCI L&amp;A a pour objet l'acquisition d'un bien immobilier situé dans le rayon 60 km</t>
  </si>
  <si>
    <t>de la frontière luxembourgeoise (Meurthe-et-Moselle 54, Moselle 57, Meuse 55).</t>
  </si>
  <si>
    <t/>
  </si>
  <si>
    <t>Le bien ciblé est une maison ou un immeuble d'une surface minimale de 100 m², à</t>
  </si>
  <si>
    <t>rénover, sans copropriété existante, avec parking. L'objectif est de le diviser en</t>
  </si>
  <si>
    <t>2 appartements T2 de ~50 m² chacun destinés à la location.</t>
  </si>
  <si>
    <t>La zone frontalière bénéficie d'une demande locative structurelle forte, portée par</t>
  </si>
  <si>
    <t>les +60 000 emplois attendus au Luxembourg d'ici 2030 et l'afflux de travailleurs</t>
  </si>
  <si>
    <t>frontaliers cherchant à se loger côté français à des loyers bien inférieurs.</t>
  </si>
  <si>
    <t>🟡  Les cellules surlignées en jaune dans l'onglet "Paramètres" sont librement modifiables. Tous les calculs (synthèse, prévisionnel, amortissement, revente) se mettent à jour automatiquement.</t>
  </si>
  <si>
    <t>PARAMÈTRES DU PROJET — SCI L&amp;A</t>
  </si>
  <si>
    <t>🟡  Cellules jaunes = saisie libre    |    ⬜ Cellules grises = calculées automatiquement</t>
  </si>
  <si>
    <t xml:space="preserve">  ACQUISITION</t>
  </si>
  <si>
    <t>Prix d'achat estimé</t>
  </si>
  <si>
    <t>€</t>
  </si>
  <si>
    <t>Frais de notaire</t>
  </si>
  <si>
    <t>%</t>
  </si>
  <si>
    <t>Montant frais de notaire</t>
  </si>
  <si>
    <t>€ — calculé</t>
  </si>
  <si>
    <t>Budget travaux</t>
  </si>
  <si>
    <t>€ — à compléter (laisser vide si inconnu)</t>
  </si>
  <si>
    <t>Frais de dossier / garantie</t>
  </si>
  <si>
    <t>TOTAL INVESTISSEMENT</t>
  </si>
  <si>
    <t xml:space="preserve">  FINANCEMENT</t>
  </si>
  <si>
    <t>Apport personnel</t>
  </si>
  <si>
    <t>€  (0 = financement total)</t>
  </si>
  <si>
    <t>Montant à emprunter</t>
  </si>
  <si>
    <t>Taux d'intérêt annuel</t>
  </si>
  <si>
    <t>Durée du prêt</t>
  </si>
  <si>
    <t>ans</t>
  </si>
  <si>
    <t>Mensualité estimée</t>
  </si>
  <si>
    <t>€/mois — calculé</t>
  </si>
  <si>
    <t>Coût total du crédit</t>
  </si>
  <si>
    <t xml:space="preserve">  REVENUS LOCATIFS</t>
  </si>
  <si>
    <t>Loyer mensuel — Lot 1 (T2 ~50 m²)</t>
  </si>
  <si>
    <t>€/mois</t>
  </si>
  <si>
    <t>Loyer mensuel — Lot 2 (T2 ~50 m²)</t>
  </si>
  <si>
    <t>Taux d'occupation annuel</t>
  </si>
  <si>
    <t>Revenu brut mensuel (net occupation)</t>
  </si>
  <si>
    <t>Revenu brut annuel</t>
  </si>
  <si>
    <t>€/an — calculé</t>
  </si>
  <si>
    <t xml:space="preserve">  CHARGES ANNUELLES ESTIMÉES</t>
  </si>
  <si>
    <t>Taxe foncière</t>
  </si>
  <si>
    <t>€/an</t>
  </si>
  <si>
    <t>Assurance PNO (2 lots)</t>
  </si>
  <si>
    <t>Entretien / provisions</t>
  </si>
  <si>
    <t>Comptabilité SCI</t>
  </si>
  <si>
    <t>TOTAL CHARGES ANNUELLES</t>
  </si>
  <si>
    <t xml:space="preserve">  HYPOTHÈSES &amp; FISCALITÉ — SCI À L'IS</t>
  </si>
  <si>
    <t>Revalorisation des loyers / an</t>
  </si>
  <si>
    <t>Plus-value immobilière estimée / an</t>
  </si>
  <si>
    <t>Durée d'amortissement comptable du bien</t>
  </si>
  <si>
    <t>Taux IS réduit (PME)</t>
  </si>
  <si>
    <t>Plafond bénéfice IS réduit</t>
  </si>
  <si>
    <t>Taux IS normal</t>
  </si>
  <si>
    <t>Flat tax dividendes (PFU)</t>
  </si>
  <si>
    <t>Amortissement comptable annuel</t>
  </si>
  <si>
    <t>€/an — calculé  (terrain = 20% non amortissable)</t>
  </si>
  <si>
    <t>ℹ️  SCI à l'IS : le terrain (~20% du prix d'achat) n'est pas amortissable. Les travaux sont amortis sur la même durée que le bien. Ces paramètres fiscaux doivent être validés par un expert-comptable.</t>
  </si>
  <si>
    <t>SYNTHÈSE FINANCIÈRE — SCI L&amp;A</t>
  </si>
  <si>
    <t>Budget total investissement</t>
  </si>
  <si>
    <t>Mensualité emprunt</t>
  </si>
  <si>
    <t>Revenus locatifs bruts / an</t>
  </si>
  <si>
    <t>Charges exploitation / an</t>
  </si>
  <si>
    <t>Excédent brut d'exploitation / an</t>
  </si>
  <si>
    <t>Cashflow net mensuel (avant IS)</t>
  </si>
  <si>
    <t>Rendement brut</t>
  </si>
  <si>
    <t>Rendement net (après charges)</t>
  </si>
  <si>
    <t>RÉCAPITULATIF DU PLAN DE FINANCEMENT</t>
  </si>
  <si>
    <t>Prix d'achat</t>
  </si>
  <si>
    <t>Frais de notaire (8%)</t>
  </si>
  <si>
    <t>TOTAL COÛT DU PROJET</t>
  </si>
  <si>
    <t>dont Apport</t>
  </si>
  <si>
    <t>dont Emprunt bancaire</t>
  </si>
  <si>
    <t>Taux d'intérêt et durée modifiables dans l'onglet Paramètres (cellules jaunes)</t>
  </si>
  <si>
    <t>Mensualité</t>
  </si>
  <si>
    <t>⚠️  Le budget travaux est intentionnellement laissé vide — à compléter après estimation. Tous les calculs s'adaptent automatiquement.</t>
  </si>
  <si>
    <t>PRÉVISIONNEL D'EXPLOITATION — 20 ANS — SCI L&amp;A (IS)</t>
  </si>
  <si>
    <t>SCI à l'IS — Amortissement comptable &amp; intérêts déduits du résultat imposable | Résultats indicatifs — à valider avec un expert-comptable</t>
  </si>
  <si>
    <t>Année</t>
  </si>
  <si>
    <t xml:space="preserve">Revenus
locatifs (€)</t>
  </si>
  <si>
    <t xml:space="preserve">Charges
exploit. (€)</t>
  </si>
  <si>
    <t>EBE (€)</t>
  </si>
  <si>
    <t xml:space="preserve">Intérêts
emprunt (€)</t>
  </si>
  <si>
    <t xml:space="preserve">Amort.
comptable (€)</t>
  </si>
  <si>
    <t xml:space="preserve">Résultat
fiscal (€)</t>
  </si>
  <si>
    <t>IS dû (€)</t>
  </si>
  <si>
    <t xml:space="preserve">Résultat
net IS (€)</t>
  </si>
  <si>
    <t xml:space="preserve">Annuité
emprunt (€)</t>
  </si>
  <si>
    <t xml:space="preserve">Cashflow
net (€)</t>
  </si>
  <si>
    <t xml:space="preserve">Capital
restant dû (€)</t>
  </si>
  <si>
    <t xml:space="preserve">Valeur
estimée (€)</t>
  </si>
  <si>
    <t xml:space="preserve">Patrimoine
net (€)</t>
  </si>
  <si>
    <t>CUMUL 20 ANS</t>
  </si>
  <si>
    <t>EBE = Revenus − Charges  |  Résultat fiscal = EBE − Intérêts − Amortissement comptable  |  IS = 15% ≤ 42 500 € puis 25%  |  Cashflow net = EBE − IS − Annuité</t>
  </si>
  <si>
    <t>TABLEAU D'AMORTISSEMENT — RÉSUMÉ ANNUEL SUR 20 ANS</t>
  </si>
  <si>
    <t>Calculé automatiquement depuis l'onglet Paramètres — Fonctions financières CUMIPMT / CUMPRINC</t>
  </si>
  <si>
    <t>Capital début (€)</t>
  </si>
  <si>
    <t>Annuité annuelle (€)</t>
  </si>
  <si>
    <t>dont Intérêts (€)</t>
  </si>
  <si>
    <t>dont Capital remb. (€)</t>
  </si>
  <si>
    <t>Capital restant dû (€)</t>
  </si>
  <si>
    <t>% Remboursé</t>
  </si>
  <si>
    <t>TOTAL</t>
  </si>
  <si>
    <t>SIMULATION DE REVENTE — PLUS-VALUE &amp; FISCALITÉ SCI À L'IS</t>
  </si>
  <si>
    <t>SCI à l'IS : plus-value imposée à l'IS sur VNC, puis flat tax 30% (PFU) sur dividendes distribués aux associés</t>
  </si>
  <si>
    <t xml:space="preserve">  HORIZON DE REVENTE</t>
  </si>
  <si>
    <t>Horizon de revente (années depuis acquisition)</t>
  </si>
  <si>
    <t>ans — modifiable</t>
  </si>
  <si>
    <t xml:space="preserve">  PRIX DE REVENTE ESTIMÉ</t>
  </si>
  <si>
    <t>Valeur d'acquisition (achat + travaux)</t>
  </si>
  <si>
    <t>Taux de revalorisation annuelle (Paramètres!B36)</t>
  </si>
  <si>
    <t>Prix de revente estimé</t>
  </si>
  <si>
    <t xml:space="preserve">  PLUS-VALUE COMPTABLE (SCI IS)</t>
  </si>
  <si>
    <t>Amortissements cumulés sur la période</t>
  </si>
  <si>
    <t>Valeur nette comptable (VNC = Acquisition − Amortissements)</t>
  </si>
  <si>
    <t>Plus-value comptable (Prix revente − VNC)</t>
  </si>
  <si>
    <t xml:space="preserve">  IMPÔT SUR LES SOCIÉTÉS (IS) SUR LA PLUS-VALUE</t>
  </si>
  <si>
    <t>IS sur plus-value  [15% ≤ 42 500 € — 25% au-delà]</t>
  </si>
  <si>
    <t>Capital net SCI après IS</t>
  </si>
  <si>
    <t xml:space="preserve">  DISTRIBUTION AUX ASSOCIÉS</t>
  </si>
  <si>
    <t>Capital restant dû à l'horizon (emprunt)</t>
  </si>
  <si>
    <t>Disponible après remboursement de l'emprunt</t>
  </si>
  <si>
    <t>Flat tax PFU (30%) sur dividendes distribués</t>
  </si>
  <si>
    <t>Gain net total (2 associés)</t>
  </si>
  <si>
    <t>Gain net par associé (50 % — Lucas Lamquet)</t>
  </si>
  <si>
    <t>Gain net par associé (50 % — Adrien Fleuriot)</t>
  </si>
  <si>
    <t xml:space="preserve">  INDICATEUR DE PERFORMANCE</t>
  </si>
  <si>
    <t>Loyers perçus cumulés sur la période (estimé)</t>
  </si>
  <si>
    <t>Gain net total (loyers + revente)</t>
  </si>
  <si>
    <t>⚠️  Simulation indicative. L'IS réel dépend des amortissements effectivement constatés, des déficits reportables et de la situation fiscale de la SCI. La flat tax s'applique sur la plus-value de cession de parts ou sur dividendes. Consultez un expert-comptable avant toute décision.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</si>
</sst>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 &quot;€&quot;"/>
    <numFmt numFmtId="165" formatCode="0.0%"/>
    <numFmt numFmtId="166" formatCode="#,##0.00 &quot;€&quot;"/>
    <numFmt numFmtId="167" formatCode="#,##0 &quot;€/an&quot;"/>
    <numFmt numFmtId="168" formatCode="#,##0.00 &quot;€/mois&quot;"/>
    <numFmt numFmtId="169" formatCode="0 &quot;ans&quot;"/>
  </numFmts>
  <fonts count="23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i/>
      <color rgb="FFFFFF"/>
      <sz val="13"/>
      <name val="Calibri"/>
    </font>
    <font>
      <b/>
      <color rgb="1E3A5F"/>
      <sz val="10"/>
      <name val="Calibri"/>
    </font>
    <font>
      <color rgb="0F172A"/>
      <sz val="10"/>
      <name val="Calibri"/>
    </font>
    <font>
      <b/>
      <color rgb="FFFFFF"/>
      <sz val="11"/>
      <name val="Calibri"/>
    </font>
    <font>
      <i/>
      <color rgb="C2410C"/>
      <sz val="9"/>
      <name val="Calibri"/>
    </font>
    <font>
      <b/>
      <color rgb="FFFFFF"/>
      <sz val="14"/>
      <name val="Calibri"/>
    </font>
    <font>
      <i/>
      <color rgb="475569"/>
      <sz val="9"/>
      <name val="Calibri"/>
    </font>
    <font>
      <b/>
      <color rgb="FFFFFF"/>
      <sz val="10"/>
      <name val="Calibri"/>
    </font>
    <font>
      <b/>
      <color rgb="0F172A"/>
      <sz val="10"/>
      <name val="Calibri"/>
    </font>
    <font>
      <i/>
      <color rgb="94A3B8"/>
      <sz val="9"/>
      <name val="Calibri"/>
    </font>
    <font>
      <color rgb="475569"/>
      <sz val="10"/>
      <name val="Calibri"/>
    </font>
    <font>
      <b/>
      <color rgb="FFFFFF"/>
      <sz val="13"/>
      <name val="Calibri"/>
    </font>
    <font>
      <b/>
      <color rgb="1E3A5F"/>
      <sz val="9"/>
      <name val="Calibri"/>
    </font>
    <font>
      <b/>
      <color rgb="1E3A5F"/>
      <sz val="14"/>
      <name val="Calibri"/>
    </font>
    <font>
      <b/>
      <color rgb="FFFFFF"/>
      <sz val="12"/>
      <name val="Calibri"/>
    </font>
    <font>
      <b/>
      <color rgb="FFFFFF"/>
      <sz val="9"/>
      <name val="Calibri"/>
    </font>
    <font>
      <color rgb="166534"/>
      <sz val="10"/>
      <name val="Calibri"/>
    </font>
    <font>
      <color rgb="B91C1C"/>
      <sz val="10"/>
      <name val="Calibri"/>
    </font>
    <font>
      <b/>
      <color rgb="166534"/>
      <sz val="10"/>
      <name val="Calibri"/>
    </font>
    <font>
      <i/>
      <color rgb="475569"/>
      <sz val="8"/>
      <name val="Calibri"/>
    </font>
    <font>
      <color rgb="1E3A5F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2D5282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FFF7ED"/>
      </patternFill>
    </fill>
    <fill>
      <patternFill patternType="solid">
        <fgColor rgb="FEFCE8"/>
      </patternFill>
    </fill>
    <fill>
      <patternFill patternType="solid">
        <fgColor rgb="DBEAFE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10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C2410C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medium">
        <color rgb="CA8A04"/>
      </left>
      <right style="medium">
        <color rgb="CA8A04"/>
      </right>
      <top style="thin">
        <color rgb="CBD5E1"/>
      </top>
      <bottom style="thin">
        <color rgb="CBD5E1"/>
      </bottom>
      <diagonal/>
    </border>
    <border>
      <left style="medium">
        <color rgb="2563EB"/>
      </left>
      <right style="medium">
        <color rgb="2563EB"/>
      </right>
      <top style="medium">
        <color rgb="2563EB"/>
      </top>
      <bottom style="medium">
        <color rgb="2563E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2563EB"/>
      </left>
      <right style="thin">
        <color rgb="2563EB"/>
      </right>
      <top style="thin">
        <color rgb="2563EB"/>
      </top>
      <bottom style="thin">
        <color rgb="2563EB"/>
      </bottom>
      <diagonal/>
    </border>
    <border>
      <left style="thin">
        <color rgb="166534"/>
      </left>
      <right style="thin">
        <color rgb="166534"/>
      </right>
      <top style="thin">
        <color rgb="166534"/>
      </top>
      <bottom style="thin">
        <color rgb="166534"/>
      </bottom>
      <diagonal/>
    </border>
    <border>
      <left style="medium">
        <color rgb="1E3A5F"/>
      </left>
      <right style="medium">
        <color rgb="1E3A5F"/>
      </right>
      <top style="medium">
        <color rgb="1E3A5F"/>
      </top>
      <bottom style="medium">
        <color rgb="1E3A5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10" fillId="8" borderId="4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165" fontId="10" fillId="8" borderId="4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left" vertical="center"/>
    </xf>
    <xf numFmtId="164" fontId="3" fillId="9" borderId="5" xfId="0" applyNumberFormat="1" applyFont="1" applyFill="1" applyBorder="1" applyAlignment="1">
      <alignment horizontal="right" vertical="center"/>
    </xf>
    <xf numFmtId="0" fontId="0" fillId="9" borderId="5" xfId="0" applyFill="1" applyBorder="1"/>
    <xf numFmtId="10" fontId="10" fillId="8" borderId="4" xfId="0" applyNumberFormat="1" applyFont="1" applyFill="1" applyBorder="1" applyAlignment="1">
      <alignment horizontal="right" vertical="center"/>
    </xf>
    <xf numFmtId="1" fontId="10" fillId="8" borderId="4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9" fontId="10" fillId="8" borderId="4" xfId="0" applyNumberFormat="1" applyFont="1" applyFill="1" applyBorder="1" applyAlignment="1">
      <alignment horizontal="right" vertical="center"/>
    </xf>
    <xf numFmtId="167" fontId="3" fillId="9" borderId="5" xfId="0" applyNumberFormat="1" applyFont="1" applyFill="1" applyBorder="1" applyAlignment="1">
      <alignment horizontal="right" vertical="center"/>
    </xf>
    <xf numFmtId="167" fontId="12" fillId="4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6" xfId="0" applyFont="1" applyFill="1" applyBorder="1" applyAlignment="1">
      <alignment horizontal="left" vertical="center"/>
    </xf>
    <xf numFmtId="0" fontId="14" fillId="10" borderId="6" xfId="0" applyFont="1" applyFill="1" applyBorder="1" applyAlignment="1">
      <alignment horizontal="left" vertical="center"/>
    </xf>
    <xf numFmtId="164" fontId="15" fillId="5" borderId="6" xfId="0" applyNumberFormat="1" applyFont="1" applyFill="1" applyBorder="1" applyAlignment="1">
      <alignment horizontal="right" vertical="center"/>
    </xf>
    <xf numFmtId="0" fontId="14" fillId="4" borderId="6" xfId="0" applyFont="1" applyFill="1" applyBorder="1" applyAlignment="1">
      <alignment horizontal="left" vertical="center"/>
    </xf>
    <xf numFmtId="168" fontId="15" fillId="5" borderId="6" xfId="0" applyNumberFormat="1" applyFont="1" applyFill="1" applyBorder="1" applyAlignment="1">
      <alignment horizontal="right" vertical="center"/>
    </xf>
    <xf numFmtId="0" fontId="14" fillId="11" borderId="6" xfId="0" applyFont="1" applyFill="1" applyBorder="1" applyAlignment="1">
      <alignment horizontal="left" vertical="center"/>
    </xf>
    <xf numFmtId="167" fontId="15" fillId="5" borderId="6" xfId="0" applyNumberFormat="1" applyFont="1" applyFill="1" applyBorder="1" applyAlignment="1">
      <alignment horizontal="right" vertical="center"/>
    </xf>
    <xf numFmtId="10" fontId="15" fillId="5" borderId="6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8" fontId="4" fillId="5" borderId="1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right" vertical="center"/>
    </xf>
    <xf numFmtId="3" fontId="19" fillId="10" borderId="1" xfId="0" applyNumberFormat="1" applyFont="1" applyFill="1" applyBorder="1" applyAlignment="1">
      <alignment horizontal="right" vertical="center"/>
    </xf>
    <xf numFmtId="3" fontId="10" fillId="9" borderId="7" xfId="0" applyNumberFormat="1" applyFont="1" applyFill="1" applyBorder="1" applyAlignment="1">
      <alignment horizontal="right" vertical="center"/>
    </xf>
    <xf numFmtId="3" fontId="20" fillId="11" borderId="8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3" fontId="12" fillId="6" borderId="1" xfId="0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center" vertical="center"/>
    </xf>
    <xf numFmtId="3" fontId="9" fillId="2" borderId="9" xfId="0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21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19" fillId="10" borderId="1" xfId="0" applyNumberFormat="1" applyFont="1" applyFill="1" applyBorder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4" fontId="10" fillId="5" borderId="3" xfId="0" applyNumberFormat="1" applyFont="1" applyFill="1" applyBorder="1" applyAlignment="1">
      <alignment horizontal="right" vertical="center"/>
    </xf>
    <xf numFmtId="165" fontId="22" fillId="9" borderId="1" xfId="0" applyNumberFormat="1" applyFont="1" applyFill="1" applyBorder="1" applyAlignment="1">
      <alignment horizontal="center" vertical="center"/>
    </xf>
    <xf numFmtId="164" fontId="10" fillId="6" borderId="3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69" fontId="10" fillId="8" borderId="4" xfId="0" applyNumberFormat="1" applyFont="1" applyFill="1" applyBorder="1" applyAlignment="1">
      <alignment horizontal="right" vertical="center"/>
    </xf>
    <xf numFmtId="0" fontId="11" fillId="8" borderId="1" xfId="0" applyFont="1" applyFill="1" applyBorder="1"/>
    <xf numFmtId="0" fontId="0" fillId="6" borderId="1" xfId="0" applyFill="1" applyBorder="1"/>
    <xf numFmtId="165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4" fillId="10" borderId="1" xfId="0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3" fillId="11" borderId="5" xfId="0" applyFont="1" applyFill="1" applyBorder="1" applyAlignment="1">
      <alignment horizontal="left" vertical="center"/>
    </xf>
    <xf numFmtId="164" fontId="3" fillId="11" borderId="5" xfId="0" applyNumberFormat="1" applyFont="1" applyFill="1" applyBorder="1" applyAlignment="1">
      <alignment horizontal="right" vertical="center"/>
    </xf>
    <xf numFmtId="0" fontId="0" fillId="11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7"/>
  <sheetFormatPr defaultRowHeight="15" outlineLevelRow="0" outlineLevelCol="0" x14ac:dyDescent="55"/>
  <cols>
    <col min="1" max="1" width="2" customWidth="1"/>
    <col min="2" max="3" width="36" customWidth="1"/>
    <col min="4" max="4" width="2" customWidth="1"/>
  </cols>
  <sheetData>
    <row r="1" ht="8" customHeight="1" x14ac:dyDescent="0.25"/>
    <row r="2" ht="52" customHeight="1" spans="2:3" x14ac:dyDescent="0.25">
      <c r="B2" s="1" t="s">
        <v>0</v>
      </c>
      <c r="C2" s="1"/>
    </row>
    <row r="3" ht="28" customHeight="1" spans="2:3" x14ac:dyDescent="0.25">
      <c r="B3" s="2" t="s">
        <v>1</v>
      </c>
      <c r="C3" s="2"/>
    </row>
    <row r="4" ht="8" customHeight="1" spans="2:3" x14ac:dyDescent="0.25">
      <c r="B4" s="3"/>
      <c r="C4" s="3"/>
    </row>
    <row r="5" ht="14" customHeight="1" x14ac:dyDescent="0.25"/>
    <row r="6" ht="21" customHeight="1" spans="2:3" x14ac:dyDescent="0.25">
      <c r="B6" s="4" t="s">
        <v>2</v>
      </c>
      <c r="C6" s="5" t="s">
        <v>3</v>
      </c>
    </row>
    <row r="7" ht="21" customHeight="1" spans="2:3" x14ac:dyDescent="0.25">
      <c r="B7" s="4" t="s">
        <v>4</v>
      </c>
      <c r="C7" s="5" t="s">
        <v>5</v>
      </c>
    </row>
    <row r="8" ht="21" customHeight="1" spans="2:3" x14ac:dyDescent="0.25">
      <c r="B8" s="4" t="s">
        <v>6</v>
      </c>
      <c r="C8" s="5" t="s">
        <v>7</v>
      </c>
    </row>
    <row r="9" ht="21" customHeight="1" spans="2:3" x14ac:dyDescent="0.25">
      <c r="B9" s="4" t="s">
        <v>8</v>
      </c>
      <c r="C9" s="5" t="s">
        <v>9</v>
      </c>
    </row>
    <row r="10" ht="21" customHeight="1" spans="2:3" x14ac:dyDescent="0.25">
      <c r="B10" s="4" t="s">
        <v>10</v>
      </c>
      <c r="C10" s="5" t="s">
        <v>11</v>
      </c>
    </row>
    <row r="11" ht="21" customHeight="1" spans="2:3" x14ac:dyDescent="0.25">
      <c r="B11" s="4" t="s">
        <v>12</v>
      </c>
      <c r="C11" s="5" t="s">
        <v>13</v>
      </c>
    </row>
    <row r="12" ht="21" customHeight="1" spans="2:3" x14ac:dyDescent="0.25">
      <c r="B12" s="4" t="s">
        <v>14</v>
      </c>
      <c r="C12" s="5" t="s">
        <v>15</v>
      </c>
    </row>
    <row r="13" ht="21" customHeight="1" spans="2:3" x14ac:dyDescent="0.25">
      <c r="B13" s="4" t="s">
        <v>16</v>
      </c>
      <c r="C13" s="5" t="s">
        <v>17</v>
      </c>
    </row>
    <row r="14" ht="14" customHeight="1" x14ac:dyDescent="0.25"/>
    <row r="15" ht="23" customHeight="1" spans="2:3" x14ac:dyDescent="0.25">
      <c r="B15" s="6" t="s">
        <v>18</v>
      </c>
      <c r="C15" s="6"/>
    </row>
    <row r="16" ht="16" customHeight="1" spans="2:3" x14ac:dyDescent="0.25">
      <c r="B16" s="7" t="s">
        <v>19</v>
      </c>
      <c r="C16" s="7"/>
    </row>
    <row r="17" ht="16" customHeight="1" spans="2:3" x14ac:dyDescent="0.25">
      <c r="B17" s="7" t="s">
        <v>20</v>
      </c>
      <c r="C17" s="7"/>
    </row>
    <row r="18" ht="16" customHeight="1" spans="2:3" x14ac:dyDescent="0.25">
      <c r="B18" s="7" t="s">
        <v>21</v>
      </c>
      <c r="C18" s="7"/>
    </row>
    <row r="19" ht="16" customHeight="1" spans="2:3" x14ac:dyDescent="0.25">
      <c r="B19" s="7" t="s">
        <v>22</v>
      </c>
      <c r="C19" s="7"/>
    </row>
    <row r="20" ht="16" customHeight="1" spans="2:3" x14ac:dyDescent="0.25">
      <c r="B20" s="7" t="s">
        <v>23</v>
      </c>
      <c r="C20" s="7"/>
    </row>
    <row r="21" ht="16" customHeight="1" spans="2:3" x14ac:dyDescent="0.25">
      <c r="B21" s="7" t="s">
        <v>24</v>
      </c>
      <c r="C21" s="7"/>
    </row>
    <row r="22" ht="16" customHeight="1" spans="2:3" x14ac:dyDescent="0.25">
      <c r="B22" s="7" t="s">
        <v>21</v>
      </c>
      <c r="C22" s="7"/>
    </row>
    <row r="23" ht="16" customHeight="1" spans="2:3" x14ac:dyDescent="0.25">
      <c r="B23" s="7" t="s">
        <v>25</v>
      </c>
      <c r="C23" s="7"/>
    </row>
    <row r="24" ht="16" customHeight="1" spans="2:3" x14ac:dyDescent="0.25">
      <c r="B24" s="7" t="s">
        <v>26</v>
      </c>
      <c r="C24" s="7"/>
    </row>
    <row r="25" ht="16" customHeight="1" spans="2:3" x14ac:dyDescent="0.25">
      <c r="B25" s="7" t="s">
        <v>27</v>
      </c>
      <c r="C25" s="7"/>
    </row>
    <row r="26" ht="10" customHeight="1" x14ac:dyDescent="0.25"/>
    <row r="27" ht="32" customHeight="1" spans="2:3" x14ac:dyDescent="0.25">
      <c r="B27" s="8" t="s">
        <v>28</v>
      </c>
      <c r="C27" s="8"/>
    </row>
  </sheetData>
  <mergeCells count="15">
    <mergeCell ref="B2:C2"/>
    <mergeCell ref="B3:C3"/>
    <mergeCell ref="B4:C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0" customWidth="1"/>
    <col min="2" max="2" width="20" customWidth="1"/>
    <col min="3" max="3" width="22" customWidth="1"/>
  </cols>
  <sheetData>
    <row r="1" ht="32" customHeight="1" spans="1:3" x14ac:dyDescent="0.25">
      <c r="A1" s="9" t="s">
        <v>29</v>
      </c>
      <c r="B1" s="9"/>
      <c r="C1" s="9"/>
    </row>
    <row r="2" ht="18" customHeight="1" spans="1:3" x14ac:dyDescent="0.25">
      <c r="A2" s="10" t="s">
        <v>30</v>
      </c>
      <c r="B2" s="10"/>
      <c r="C2" s="10"/>
    </row>
    <row r="3" ht="8" customHeight="1" x14ac:dyDescent="0.25"/>
    <row r="4" ht="22" customHeight="1" spans="1:3" x14ac:dyDescent="0.25">
      <c r="A4" s="11" t="s">
        <v>31</v>
      </c>
      <c r="B4" s="11"/>
      <c r="C4" s="11"/>
    </row>
    <row r="5" ht="19" customHeight="1" spans="1:3" x14ac:dyDescent="0.25">
      <c r="A5" s="12" t="s">
        <v>32</v>
      </c>
      <c r="B5" s="13">
        <v>165000</v>
      </c>
      <c r="C5" s="14" t="s">
        <v>33</v>
      </c>
    </row>
    <row r="6" ht="19" customHeight="1" spans="1:3" x14ac:dyDescent="0.25">
      <c r="A6" s="12" t="s">
        <v>34</v>
      </c>
      <c r="B6" s="15">
        <v>0.08</v>
      </c>
      <c r="C6" s="14" t="s">
        <v>35</v>
      </c>
    </row>
    <row r="7" ht="19" customHeight="1" spans="1:3" x14ac:dyDescent="0.25">
      <c r="A7" s="12" t="s">
        <v>36</v>
      </c>
      <c r="B7" s="16">
        <f>ROUND(B5*B6,0)</f>
      </c>
      <c r="C7" s="14" t="s">
        <v>37</v>
      </c>
    </row>
    <row r="8" ht="19" customHeight="1" spans="1:3" x14ac:dyDescent="0.25">
      <c r="A8" s="12" t="s">
        <v>38</v>
      </c>
      <c r="B8" s="13"/>
      <c r="C8" s="14" t="s">
        <v>39</v>
      </c>
    </row>
    <row r="9" ht="19" customHeight="1" spans="1:3" x14ac:dyDescent="0.25">
      <c r="A9" s="12" t="s">
        <v>40</v>
      </c>
      <c r="B9" s="13">
        <v>3000</v>
      </c>
      <c r="C9" s="14" t="s">
        <v>33</v>
      </c>
    </row>
    <row r="10" ht="21" customHeight="1" spans="1:3" x14ac:dyDescent="0.25">
      <c r="A10" s="17" t="s">
        <v>41</v>
      </c>
      <c r="B10" s="18">
        <f>B5+IFERROR(B8,0)+B7+B9</f>
      </c>
      <c r="C10" s="19"/>
    </row>
    <row r="11" ht="8" customHeight="1" x14ac:dyDescent="0.25"/>
    <row r="12" ht="22" customHeight="1" spans="1:3" x14ac:dyDescent="0.25">
      <c r="A12" s="11" t="s">
        <v>42</v>
      </c>
      <c r="B12" s="11"/>
      <c r="C12" s="11"/>
    </row>
    <row r="13" ht="19" customHeight="1" spans="1:3" x14ac:dyDescent="0.25">
      <c r="A13" s="12" t="s">
        <v>43</v>
      </c>
      <c r="B13" s="13">
        <v>0</v>
      </c>
      <c r="C13" s="14" t="s">
        <v>44</v>
      </c>
    </row>
    <row r="14" ht="19" customHeight="1" spans="1:3" x14ac:dyDescent="0.25">
      <c r="A14" s="12" t="s">
        <v>45</v>
      </c>
      <c r="B14" s="16">
        <f>B10-B13</f>
      </c>
      <c r="C14" s="14" t="s">
        <v>37</v>
      </c>
    </row>
    <row r="15" ht="19" customHeight="1" spans="1:3" x14ac:dyDescent="0.25">
      <c r="A15" s="12" t="s">
        <v>46</v>
      </c>
      <c r="B15" s="20">
        <v>0.035</v>
      </c>
      <c r="C15" s="14" t="s">
        <v>35</v>
      </c>
    </row>
    <row r="16" ht="19" customHeight="1" spans="1:3" x14ac:dyDescent="0.25">
      <c r="A16" s="12" t="s">
        <v>47</v>
      </c>
      <c r="B16" s="21">
        <v>20</v>
      </c>
      <c r="C16" s="14" t="s">
        <v>48</v>
      </c>
    </row>
    <row r="17" ht="19" customHeight="1" spans="1:3" x14ac:dyDescent="0.25">
      <c r="A17" s="12" t="s">
        <v>49</v>
      </c>
      <c r="B17" s="22">
        <f>IFERROR(PMT(B15/12,B16*12,-B14),0)</f>
      </c>
      <c r="C17" s="14" t="s">
        <v>50</v>
      </c>
    </row>
    <row r="18" ht="19" customHeight="1" spans="1:3" x14ac:dyDescent="0.25">
      <c r="A18" s="12" t="s">
        <v>51</v>
      </c>
      <c r="B18" s="16">
        <f>IFERROR(B17*B16*12-B14,0)</f>
      </c>
      <c r="C18" s="14" t="s">
        <v>37</v>
      </c>
    </row>
    <row r="19" ht="8" customHeight="1" x14ac:dyDescent="0.25"/>
    <row r="20" ht="22" customHeight="1" spans="1:3" x14ac:dyDescent="0.25">
      <c r="A20" s="11" t="s">
        <v>52</v>
      </c>
      <c r="B20" s="11"/>
      <c r="C20" s="11"/>
    </row>
    <row r="21" ht="19" customHeight="1" spans="1:3" x14ac:dyDescent="0.25">
      <c r="A21" s="12" t="s">
        <v>53</v>
      </c>
      <c r="B21" s="13">
        <v>550</v>
      </c>
      <c r="C21" s="14" t="s">
        <v>54</v>
      </c>
    </row>
    <row r="22" ht="19" customHeight="1" spans="1:3" x14ac:dyDescent="0.25">
      <c r="A22" s="12" t="s">
        <v>55</v>
      </c>
      <c r="B22" s="13">
        <v>550</v>
      </c>
      <c r="C22" s="14" t="s">
        <v>54</v>
      </c>
    </row>
    <row r="23" ht="19" customHeight="1" spans="1:3" x14ac:dyDescent="0.25">
      <c r="A23" s="12" t="s">
        <v>56</v>
      </c>
      <c r="B23" s="23">
        <v>0.92</v>
      </c>
      <c r="C23" s="14" t="s">
        <v>35</v>
      </c>
    </row>
    <row r="24" ht="19" customHeight="1" spans="1:3" x14ac:dyDescent="0.25">
      <c r="A24" s="12" t="s">
        <v>57</v>
      </c>
      <c r="B24" s="22">
        <f>(B21+B22)*B23</f>
      </c>
      <c r="C24" s="14" t="s">
        <v>50</v>
      </c>
    </row>
    <row r="25" ht="19" customHeight="1" spans="1:3" x14ac:dyDescent="0.25">
      <c r="A25" s="12" t="s">
        <v>58</v>
      </c>
      <c r="B25" s="16">
        <f>ROUND(B24*12,0)</f>
      </c>
      <c r="C25" s="14" t="s">
        <v>59</v>
      </c>
    </row>
    <row r="26" ht="8" customHeight="1" x14ac:dyDescent="0.25"/>
    <row r="27" ht="22" customHeight="1" spans="1:3" x14ac:dyDescent="0.25">
      <c r="A27" s="11" t="s">
        <v>60</v>
      </c>
      <c r="B27" s="11"/>
      <c r="C27" s="11"/>
    </row>
    <row r="28" ht="19" customHeight="1" spans="1:3" x14ac:dyDescent="0.25">
      <c r="A28" s="12" t="s">
        <v>61</v>
      </c>
      <c r="B28" s="13">
        <v>1200</v>
      </c>
      <c r="C28" s="14" t="s">
        <v>62</v>
      </c>
    </row>
    <row r="29" ht="19" customHeight="1" spans="1:3" x14ac:dyDescent="0.25">
      <c r="A29" s="12" t="s">
        <v>63</v>
      </c>
      <c r="B29" s="13">
        <v>600</v>
      </c>
      <c r="C29" s="14" t="s">
        <v>62</v>
      </c>
    </row>
    <row r="30" ht="19" customHeight="1" spans="1:3" x14ac:dyDescent="0.25">
      <c r="A30" s="12" t="s">
        <v>64</v>
      </c>
      <c r="B30" s="13">
        <v>800</v>
      </c>
      <c r="C30" s="14" t="s">
        <v>62</v>
      </c>
    </row>
    <row r="31" ht="19" customHeight="1" spans="1:3" x14ac:dyDescent="0.25">
      <c r="A31" s="12" t="s">
        <v>65</v>
      </c>
      <c r="B31" s="13">
        <v>600</v>
      </c>
      <c r="C31" s="14" t="s">
        <v>62</v>
      </c>
    </row>
    <row r="32" ht="21" customHeight="1" spans="1:3" x14ac:dyDescent="0.25">
      <c r="A32" s="17" t="s">
        <v>66</v>
      </c>
      <c r="B32" s="24">
        <f>SUM(B28:B31)</f>
      </c>
      <c r="C32" s="19"/>
    </row>
    <row r="33" ht="8" customHeight="1" x14ac:dyDescent="0.25"/>
    <row r="34" ht="22" customHeight="1" spans="1:3" x14ac:dyDescent="0.25">
      <c r="A34" s="11" t="s">
        <v>67</v>
      </c>
      <c r="B34" s="11"/>
      <c r="C34" s="11"/>
    </row>
    <row r="35" ht="19" customHeight="1" spans="1:3" x14ac:dyDescent="0.25">
      <c r="A35" s="12" t="s">
        <v>68</v>
      </c>
      <c r="B35" s="15">
        <v>0.015</v>
      </c>
      <c r="C35" s="14" t="s">
        <v>35</v>
      </c>
    </row>
    <row r="36" ht="19" customHeight="1" spans="1:3" x14ac:dyDescent="0.25">
      <c r="A36" s="12" t="s">
        <v>69</v>
      </c>
      <c r="B36" s="15">
        <v>0.02</v>
      </c>
      <c r="C36" s="14" t="s">
        <v>35</v>
      </c>
    </row>
    <row r="37" ht="19" customHeight="1" spans="1:3" x14ac:dyDescent="0.25">
      <c r="A37" s="12" t="s">
        <v>70</v>
      </c>
      <c r="B37" s="21">
        <v>30</v>
      </c>
      <c r="C37" s="14" t="s">
        <v>48</v>
      </c>
    </row>
    <row r="38" ht="19" customHeight="1" spans="1:3" x14ac:dyDescent="0.25">
      <c r="A38" s="12" t="s">
        <v>71</v>
      </c>
      <c r="B38" s="23">
        <v>0.15</v>
      </c>
      <c r="C38" s="14" t="s">
        <v>35</v>
      </c>
    </row>
    <row r="39" ht="19" customHeight="1" spans="1:3" x14ac:dyDescent="0.25">
      <c r="A39" s="12" t="s">
        <v>72</v>
      </c>
      <c r="B39" s="13">
        <v>42500</v>
      </c>
      <c r="C39" s="14" t="s">
        <v>33</v>
      </c>
    </row>
    <row r="40" ht="19" customHeight="1" spans="1:3" x14ac:dyDescent="0.25">
      <c r="A40" s="12" t="s">
        <v>73</v>
      </c>
      <c r="B40" s="23">
        <v>0.25</v>
      </c>
      <c r="C40" s="14" t="s">
        <v>35</v>
      </c>
    </row>
    <row r="41" ht="19" customHeight="1" spans="1:3" x14ac:dyDescent="0.25">
      <c r="A41" s="12" t="s">
        <v>74</v>
      </c>
      <c r="B41" s="23">
        <v>0.3</v>
      </c>
      <c r="C41" s="14" t="s">
        <v>35</v>
      </c>
    </row>
    <row r="42" ht="19" customHeight="1" spans="1:3" x14ac:dyDescent="0.25">
      <c r="A42" s="12" t="s">
        <v>75</v>
      </c>
      <c r="B42" s="25">
        <f>IFERROR((B5*0.8+IFERROR(B8,0))/B37,0)</f>
      </c>
      <c r="C42" s="14" t="s">
        <v>76</v>
      </c>
    </row>
    <row r="43" ht="8" customHeight="1" x14ac:dyDescent="0.25"/>
    <row r="44" ht="30" customHeight="1" spans="1:3" x14ac:dyDescent="0.25">
      <c r="A44" s="26" t="s">
        <v>77</v>
      </c>
      <c r="B44" s="26"/>
      <c r="C44" s="26"/>
    </row>
  </sheetData>
  <mergeCells count="8">
    <mergeCell ref="A1:C1"/>
    <mergeCell ref="A2:C2"/>
    <mergeCell ref="A4:C4"/>
    <mergeCell ref="A12:C12"/>
    <mergeCell ref="A20:C20"/>
    <mergeCell ref="A27:C27"/>
    <mergeCell ref="A34:C34"/>
    <mergeCell ref="A44:C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6" customWidth="1"/>
    <col min="2" max="2" width="22" customWidth="1"/>
    <col min="3" max="3" width="4" customWidth="1"/>
    <col min="4" max="4" width="36" customWidth="1"/>
    <col min="5" max="5" width="22" customWidth="1"/>
  </cols>
  <sheetData>
    <row r="1" ht="30" customHeight="1" spans="1:5" x14ac:dyDescent="0.25">
      <c r="A1" s="27" t="s">
        <v>78</v>
      </c>
      <c r="B1" s="27"/>
      <c r="C1" s="27"/>
      <c r="D1" s="27"/>
      <c r="E1" s="27"/>
    </row>
    <row r="2" ht="10" customHeight="1" x14ac:dyDescent="0.25"/>
    <row r="3" ht="17" customHeight="1" spans="1:4" x14ac:dyDescent="0.25">
      <c r="A3" s="28" t="s">
        <v>79</v>
      </c>
      <c r="D3" s="29" t="s">
        <v>45</v>
      </c>
    </row>
    <row r="4" ht="28" customHeight="1" spans="1:4" x14ac:dyDescent="0.25">
      <c r="A4" s="30">
        <f>Paramètres!B10</f>
      </c>
      <c r="D4" s="30">
        <f>Paramètres!B14</f>
      </c>
    </row>
    <row r="5" ht="8" customHeight="1" x14ac:dyDescent="0.25"/>
    <row r="6" ht="17" customHeight="1" spans="1:4" x14ac:dyDescent="0.25">
      <c r="A6" s="31" t="s">
        <v>43</v>
      </c>
      <c r="D6" s="29" t="s">
        <v>80</v>
      </c>
    </row>
    <row r="7" ht="28" customHeight="1" spans="1:4" x14ac:dyDescent="0.25">
      <c r="A7" s="30">
        <f>Paramètres!B13</f>
      </c>
      <c r="D7" s="32">
        <f>Paramètres!B17</f>
      </c>
    </row>
    <row r="8" ht="8" customHeight="1" x14ac:dyDescent="0.25"/>
    <row r="9" ht="17" customHeight="1" spans="1:4" x14ac:dyDescent="0.25">
      <c r="A9" s="33" t="s">
        <v>81</v>
      </c>
      <c r="D9" s="31" t="s">
        <v>82</v>
      </c>
    </row>
    <row r="10" ht="28" customHeight="1" spans="1:4" x14ac:dyDescent="0.25">
      <c r="A10" s="34">
        <f>Paramètres!B25</f>
      </c>
      <c r="D10" s="34">
        <f>Paramètres!B32</f>
      </c>
    </row>
    <row r="11" ht="8" customHeight="1" x14ac:dyDescent="0.25"/>
    <row r="12" ht="17" customHeight="1" spans="1:4" x14ac:dyDescent="0.25">
      <c r="A12" s="28" t="s">
        <v>83</v>
      </c>
      <c r="D12" s="28" t="s">
        <v>84</v>
      </c>
    </row>
    <row r="13" ht="28" customHeight="1" spans="1:4" x14ac:dyDescent="0.25">
      <c r="A13" s="34">
        <f>Paramètres!B25-Paramètres!B32</f>
      </c>
      <c r="D13" s="32">
        <f>(Paramètres!B25-Paramètres!B32)/12-Paramètres!B17</f>
      </c>
    </row>
    <row r="14" ht="8" customHeight="1" x14ac:dyDescent="0.25"/>
    <row r="15" ht="17" customHeight="1" spans="1:4" x14ac:dyDescent="0.25">
      <c r="A15" s="33" t="s">
        <v>85</v>
      </c>
      <c r="D15" s="33" t="s">
        <v>86</v>
      </c>
    </row>
    <row r="16" ht="28" customHeight="1" spans="1:4" x14ac:dyDescent="0.25">
      <c r="A16" s="35">
        <f>Paramètres!B25/Paramètres!B10</f>
      </c>
      <c r="D16" s="35">
        <f>(Paramètres!B25-Paramètres!B32)/Paramètres!B10</f>
      </c>
    </row>
    <row r="17" ht="8" customHeight="1" x14ac:dyDescent="0.25"/>
    <row r="18" ht="23" customHeight="1" spans="1:5" x14ac:dyDescent="0.25">
      <c r="A18" s="36" t="s">
        <v>87</v>
      </c>
      <c r="B18" s="36"/>
      <c r="C18" s="36"/>
      <c r="D18" s="36"/>
      <c r="E18" s="36"/>
    </row>
    <row r="19" ht="18" customHeight="1" spans="1:5" x14ac:dyDescent="0.25">
      <c r="A19" s="5" t="s">
        <v>88</v>
      </c>
      <c r="B19" s="5"/>
      <c r="C19" s="5"/>
      <c r="D19" s="5"/>
      <c r="E19" s="37">
        <f>Paramètres!B5</f>
      </c>
    </row>
    <row r="20" ht="18" customHeight="1" spans="1:5" x14ac:dyDescent="0.25">
      <c r="A20" s="12" t="s">
        <v>89</v>
      </c>
      <c r="B20" s="12"/>
      <c r="C20" s="12"/>
      <c r="D20" s="12"/>
      <c r="E20" s="38">
        <f>Paramètres!B7</f>
      </c>
    </row>
    <row r="21" ht="18" customHeight="1" spans="1:5" x14ac:dyDescent="0.25">
      <c r="A21" s="5" t="s">
        <v>38</v>
      </c>
      <c r="B21" s="5"/>
      <c r="C21" s="5"/>
      <c r="D21" s="5"/>
      <c r="E21" s="37">
        <f>IFERROR(Paramètres!B8,0)</f>
      </c>
    </row>
    <row r="22" ht="18" customHeight="1" spans="1:5" x14ac:dyDescent="0.25">
      <c r="A22" s="12" t="s">
        <v>40</v>
      </c>
      <c r="B22" s="12"/>
      <c r="C22" s="12"/>
      <c r="D22" s="12"/>
      <c r="E22" s="38">
        <f>Paramètres!B9</f>
      </c>
    </row>
    <row r="23" ht="18" customHeight="1" spans="1:5" x14ac:dyDescent="0.25">
      <c r="A23" s="17" t="s">
        <v>90</v>
      </c>
      <c r="B23" s="17"/>
      <c r="C23" s="17"/>
      <c r="D23" s="17"/>
      <c r="E23" s="18">
        <f>Paramètres!B10</f>
      </c>
    </row>
    <row r="24" ht="18" customHeight="1" spans="1:5" x14ac:dyDescent="0.25">
      <c r="A24" s="12" t="s">
        <v>91</v>
      </c>
      <c r="B24" s="12"/>
      <c r="C24" s="12"/>
      <c r="D24" s="12"/>
      <c r="E24" s="38">
        <f>Paramètres!B13</f>
      </c>
    </row>
    <row r="25" ht="18" customHeight="1" spans="1:5" x14ac:dyDescent="0.25">
      <c r="A25" s="5" t="s">
        <v>92</v>
      </c>
      <c r="B25" s="5"/>
      <c r="C25" s="5"/>
      <c r="D25" s="5"/>
      <c r="E25" s="37">
        <f>Paramètres!B14</f>
      </c>
    </row>
    <row r="26" ht="18" customHeight="1" spans="1:5" x14ac:dyDescent="0.25">
      <c r="A26" s="10" t="s">
        <v>93</v>
      </c>
      <c r="B26" s="10"/>
      <c r="C26" s="10"/>
      <c r="D26" s="10"/>
      <c r="E26" s="10"/>
    </row>
    <row r="27" ht="18" customHeight="1" spans="1:5" x14ac:dyDescent="0.25">
      <c r="A27" s="5" t="s">
        <v>94</v>
      </c>
      <c r="B27" s="5"/>
      <c r="C27" s="5"/>
      <c r="D27" s="5"/>
      <c r="E27" s="39">
        <f>Paramètres!B17</f>
      </c>
    </row>
    <row r="28" ht="18" customHeight="1" spans="1:5" x14ac:dyDescent="0.25">
      <c r="A28" s="12" t="s">
        <v>51</v>
      </c>
      <c r="B28" s="12"/>
      <c r="C28" s="12"/>
      <c r="D28" s="12"/>
      <c r="E28" s="38">
        <f>Paramètres!B18</f>
      </c>
    </row>
    <row r="29" ht="10" customHeight="1" x14ac:dyDescent="0.25"/>
    <row r="30" ht="24" customHeight="1" spans="1:5" x14ac:dyDescent="0.25">
      <c r="A30" s="8" t="s">
        <v>95</v>
      </c>
      <c r="B30" s="8"/>
      <c r="C30" s="8"/>
      <c r="D30" s="8"/>
      <c r="E30" s="8"/>
    </row>
  </sheetData>
  <mergeCells count="13">
    <mergeCell ref="A1:E1"/>
    <mergeCell ref="A18:E18"/>
    <mergeCell ref="A19:D19"/>
    <mergeCell ref="A20:D20"/>
    <mergeCell ref="A21:D21"/>
    <mergeCell ref="A22:D22"/>
    <mergeCell ref="A23:D23"/>
    <mergeCell ref="A24:D24"/>
    <mergeCell ref="A25:D25"/>
    <mergeCell ref="A26:E26"/>
    <mergeCell ref="A27:D27"/>
    <mergeCell ref="A28:D28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cols>
    <col min="1" max="1" width="8" customWidth="1"/>
    <col min="2" max="3" width="14" customWidth="1"/>
    <col min="4" max="4" width="13" customWidth="1"/>
    <col min="5" max="7" width="14" customWidth="1"/>
    <col min="8" max="8" width="12" customWidth="1"/>
    <col min="9" max="10" width="14" customWidth="1"/>
    <col min="11" max="11" width="13" customWidth="1"/>
    <col min="12" max="12" width="15" customWidth="1"/>
    <col min="13" max="14" width="14" customWidth="1"/>
  </cols>
  <sheetData>
    <row r="1" ht="28" customHeight="1" spans="1:14" x14ac:dyDescent="0.25">
      <c r="A1" s="40" t="s">
        <v>96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ht="16" customHeight="1" spans="1:14" x14ac:dyDescent="0.25">
      <c r="A2" s="41" t="s">
        <v>97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ht="8" customHeight="1" x14ac:dyDescent="0.25"/>
    <row r="4" ht="34" customHeight="1" spans="1:14" x14ac:dyDescent="0.25">
      <c r="A4" s="42" t="s">
        <v>98</v>
      </c>
      <c r="B4" s="42" t="s">
        <v>99</v>
      </c>
      <c r="C4" s="42" t="s">
        <v>100</v>
      </c>
      <c r="D4" s="42" t="s">
        <v>101</v>
      </c>
      <c r="E4" s="42" t="s">
        <v>102</v>
      </c>
      <c r="F4" s="42" t="s">
        <v>103</v>
      </c>
      <c r="G4" s="42" t="s">
        <v>104</v>
      </c>
      <c r="H4" s="42" t="s">
        <v>105</v>
      </c>
      <c r="I4" s="42" t="s">
        <v>106</v>
      </c>
      <c r="J4" s="42" t="s">
        <v>107</v>
      </c>
      <c r="K4" s="42" t="s">
        <v>108</v>
      </c>
      <c r="L4" s="42" t="s">
        <v>109</v>
      </c>
      <c r="M4" s="42" t="s">
        <v>110</v>
      </c>
      <c r="N4" s="42" t="s">
        <v>111</v>
      </c>
    </row>
    <row r="5" ht="18" customHeight="1" spans="1:14" x14ac:dyDescent="0.25">
      <c r="A5" s="43">
        <v>2026</v>
      </c>
      <c r="B5" s="44">
        <f>Paramètres!B25</f>
      </c>
      <c r="C5" s="45">
        <f>Paramètres!B32</f>
      </c>
      <c r="D5" s="45">
        <f>B5-C5</f>
      </c>
      <c r="E5" s="46">
        <f>IFERROR(-CUMIPMT(Paramètres!B15/12,Paramètres!B16*12,Paramètres!B14,1,12,0),0)</f>
      </c>
      <c r="F5" s="46">
        <f>Paramètres!B42</f>
      </c>
      <c r="G5" s="45">
        <f>D5-E5-F5</f>
      </c>
      <c r="H5" s="47">
        <f>IF(G5&gt;0,MIN(G5,Paramètres!B39)*Paramètres!B38+MAX(0,G5-Paramètres!B39)*Paramètres!B40,0)</f>
      </c>
      <c r="I5" s="45">
        <f>G5-H5</f>
      </c>
      <c r="J5" s="46">
        <f>Paramètres!B17*12</f>
      </c>
      <c r="K5" s="48">
        <f>D5-H5-J5</f>
      </c>
      <c r="L5" s="46">
        <f>IFERROR(Paramètres!B14+CUMPRINC(Paramètres!B15/12,Paramètres!B16*12,Paramètres!B14,1,12,0),0)</f>
      </c>
      <c r="M5" s="44">
        <f>ROUND((Paramètres!B5+IFERROR(Paramètres!B8,0))*(1+Paramètres!B36),0)</f>
      </c>
      <c r="N5" s="49">
        <f>M5-L5</f>
      </c>
    </row>
    <row r="6" ht="18" customHeight="1" spans="1:14" x14ac:dyDescent="0.25">
      <c r="A6" s="43">
        <v>2027</v>
      </c>
      <c r="B6" s="44">
        <f>ROUND(B5*(1+Paramètres!B35),0)</f>
      </c>
      <c r="C6" s="50">
        <f>Paramètres!B32</f>
      </c>
      <c r="D6" s="50">
        <f>B6-C6</f>
      </c>
      <c r="E6" s="51">
        <f>IFERROR(-CUMIPMT(Paramètres!B15/12,Paramètres!B16*12,Paramètres!B14,13,24,0),0)</f>
      </c>
      <c r="F6" s="51">
        <f>Paramètres!B42</f>
      </c>
      <c r="G6" s="50">
        <f>D6-E6-F6</f>
      </c>
      <c r="H6" s="47">
        <f>IF(G6&gt;0,MIN(G6,Paramètres!B39)*Paramètres!B38+MAX(0,G6-Paramètres!B39)*Paramètres!B40,0)</f>
      </c>
      <c r="I6" s="50">
        <f>G6-H6</f>
      </c>
      <c r="J6" s="51">
        <f>Paramètres!B17*12</f>
      </c>
      <c r="K6" s="48">
        <f>D6-H6-J6</f>
      </c>
      <c r="L6" s="51">
        <f>IFERROR(Paramètres!B14+CUMPRINC(Paramètres!B15/12,Paramètres!B16*12,Paramètres!B14,1,24,0),0)</f>
      </c>
      <c r="M6" s="44">
        <f>ROUND(M5*(1+Paramètres!B36),0)</f>
      </c>
      <c r="N6" s="49">
        <f>M6-L6</f>
      </c>
    </row>
    <row r="7" ht="18" customHeight="1" spans="1:14" x14ac:dyDescent="0.25">
      <c r="A7" s="43">
        <v>2028</v>
      </c>
      <c r="B7" s="44">
        <f>ROUND(B6*(1+Paramètres!B35),0)</f>
      </c>
      <c r="C7" s="45">
        <f>Paramètres!B32</f>
      </c>
      <c r="D7" s="45">
        <f>B7-C7</f>
      </c>
      <c r="E7" s="46">
        <f>IFERROR(-CUMIPMT(Paramètres!B15/12,Paramètres!B16*12,Paramètres!B14,25,36,0),0)</f>
      </c>
      <c r="F7" s="46">
        <f>Paramètres!B42</f>
      </c>
      <c r="G7" s="45">
        <f>D7-E7-F7</f>
      </c>
      <c r="H7" s="47">
        <f>IF(G7&gt;0,MIN(G7,Paramètres!B39)*Paramètres!B38+MAX(0,G7-Paramètres!B39)*Paramètres!B40,0)</f>
      </c>
      <c r="I7" s="45">
        <f>G7-H7</f>
      </c>
      <c r="J7" s="46">
        <f>Paramètres!B17*12</f>
      </c>
      <c r="K7" s="48">
        <f>D7-H7-J7</f>
      </c>
      <c r="L7" s="46">
        <f>IFERROR(Paramètres!B14+CUMPRINC(Paramètres!B15/12,Paramètres!B16*12,Paramètres!B14,1,36,0),0)</f>
      </c>
      <c r="M7" s="44">
        <f>ROUND(M6*(1+Paramètres!B36),0)</f>
      </c>
      <c r="N7" s="49">
        <f>M7-L7</f>
      </c>
    </row>
    <row r="8" ht="18" customHeight="1" spans="1:14" x14ac:dyDescent="0.25">
      <c r="A8" s="43">
        <v>2029</v>
      </c>
      <c r="B8" s="44">
        <f>ROUND(B7*(1+Paramètres!B35),0)</f>
      </c>
      <c r="C8" s="50">
        <f>Paramètres!B32</f>
      </c>
      <c r="D8" s="50">
        <f>B8-C8</f>
      </c>
      <c r="E8" s="51">
        <f>IFERROR(-CUMIPMT(Paramètres!B15/12,Paramètres!B16*12,Paramètres!B14,37,48,0),0)</f>
      </c>
      <c r="F8" s="51">
        <f>Paramètres!B42</f>
      </c>
      <c r="G8" s="50">
        <f>D8-E8-F8</f>
      </c>
      <c r="H8" s="47">
        <f>IF(G8&gt;0,MIN(G8,Paramètres!B39)*Paramètres!B38+MAX(0,G8-Paramètres!B39)*Paramètres!B40,0)</f>
      </c>
      <c r="I8" s="50">
        <f>G8-H8</f>
      </c>
      <c r="J8" s="51">
        <f>Paramètres!B17*12</f>
      </c>
      <c r="K8" s="48">
        <f>D8-H8-J8</f>
      </c>
      <c r="L8" s="51">
        <f>IFERROR(Paramètres!B14+CUMPRINC(Paramètres!B15/12,Paramètres!B16*12,Paramètres!B14,1,48,0),0)</f>
      </c>
      <c r="M8" s="44">
        <f>ROUND(M7*(1+Paramètres!B36),0)</f>
      </c>
      <c r="N8" s="49">
        <f>M8-L8</f>
      </c>
    </row>
    <row r="9" ht="18" customHeight="1" spans="1:14" x14ac:dyDescent="0.25">
      <c r="A9" s="43">
        <v>2030</v>
      </c>
      <c r="B9" s="44">
        <f>ROUND(B8*(1+Paramètres!B35),0)</f>
      </c>
      <c r="C9" s="45">
        <f>Paramètres!B32</f>
      </c>
      <c r="D9" s="45">
        <f>B9-C9</f>
      </c>
      <c r="E9" s="46">
        <f>IFERROR(-CUMIPMT(Paramètres!B15/12,Paramètres!B16*12,Paramètres!B14,49,60,0),0)</f>
      </c>
      <c r="F9" s="46">
        <f>Paramètres!B42</f>
      </c>
      <c r="G9" s="45">
        <f>D9-E9-F9</f>
      </c>
      <c r="H9" s="47">
        <f>IF(G9&gt;0,MIN(G9,Paramètres!B39)*Paramètres!B38+MAX(0,G9-Paramètres!B39)*Paramètres!B40,0)</f>
      </c>
      <c r="I9" s="45">
        <f>G9-H9</f>
      </c>
      <c r="J9" s="46">
        <f>Paramètres!B17*12</f>
      </c>
      <c r="K9" s="48">
        <f>D9-H9-J9</f>
      </c>
      <c r="L9" s="46">
        <f>IFERROR(Paramètres!B14+CUMPRINC(Paramètres!B15/12,Paramètres!B16*12,Paramètres!B14,1,60,0),0)</f>
      </c>
      <c r="M9" s="44">
        <f>ROUND(M8*(1+Paramètres!B36),0)</f>
      </c>
      <c r="N9" s="49">
        <f>M9-L9</f>
      </c>
    </row>
    <row r="10" ht="18" customHeight="1" spans="1:14" x14ac:dyDescent="0.25">
      <c r="A10" s="43">
        <v>2031</v>
      </c>
      <c r="B10" s="44">
        <f>ROUND(B9*(1+Paramètres!B35),0)</f>
      </c>
      <c r="C10" s="50">
        <f>Paramètres!B32</f>
      </c>
      <c r="D10" s="50">
        <f>B10-C10</f>
      </c>
      <c r="E10" s="51">
        <f>IFERROR(-CUMIPMT(Paramètres!B15/12,Paramètres!B16*12,Paramètres!B14,61,72,0),0)</f>
      </c>
      <c r="F10" s="51">
        <f>Paramètres!B42</f>
      </c>
      <c r="G10" s="50">
        <f>D10-E10-F10</f>
      </c>
      <c r="H10" s="47">
        <f>IF(G10&gt;0,MIN(G10,Paramètres!B39)*Paramètres!B38+MAX(0,G10-Paramètres!B39)*Paramètres!B40,0)</f>
      </c>
      <c r="I10" s="50">
        <f>G10-H10</f>
      </c>
      <c r="J10" s="51">
        <f>Paramètres!B17*12</f>
      </c>
      <c r="K10" s="48">
        <f>D10-H10-J10</f>
      </c>
      <c r="L10" s="51">
        <f>IFERROR(Paramètres!B14+CUMPRINC(Paramètres!B15/12,Paramètres!B16*12,Paramètres!B14,1,72,0),0)</f>
      </c>
      <c r="M10" s="44">
        <f>ROUND(M9*(1+Paramètres!B36),0)</f>
      </c>
      <c r="N10" s="49">
        <f>M10-L10</f>
      </c>
    </row>
    <row r="11" ht="18" customHeight="1" spans="1:14" x14ac:dyDescent="0.25">
      <c r="A11" s="43">
        <v>2032</v>
      </c>
      <c r="B11" s="44">
        <f>ROUND(B10*(1+Paramètres!B35),0)</f>
      </c>
      <c r="C11" s="45">
        <f>Paramètres!B32</f>
      </c>
      <c r="D11" s="45">
        <f>B11-C11</f>
      </c>
      <c r="E11" s="46">
        <f>IFERROR(-CUMIPMT(Paramètres!B15/12,Paramètres!B16*12,Paramètres!B14,73,84,0),0)</f>
      </c>
      <c r="F11" s="46">
        <f>Paramètres!B42</f>
      </c>
      <c r="G11" s="45">
        <f>D11-E11-F11</f>
      </c>
      <c r="H11" s="47">
        <f>IF(G11&gt;0,MIN(G11,Paramètres!B39)*Paramètres!B38+MAX(0,G11-Paramètres!B39)*Paramètres!B40,0)</f>
      </c>
      <c r="I11" s="45">
        <f>G11-H11</f>
      </c>
      <c r="J11" s="46">
        <f>Paramètres!B17*12</f>
      </c>
      <c r="K11" s="48">
        <f>D11-H11-J11</f>
      </c>
      <c r="L11" s="46">
        <f>IFERROR(Paramètres!B14+CUMPRINC(Paramètres!B15/12,Paramètres!B16*12,Paramètres!B14,1,84,0),0)</f>
      </c>
      <c r="M11" s="44">
        <f>ROUND(M10*(1+Paramètres!B36),0)</f>
      </c>
      <c r="N11" s="49">
        <f>M11-L11</f>
      </c>
    </row>
    <row r="12" ht="18" customHeight="1" spans="1:14" x14ac:dyDescent="0.25">
      <c r="A12" s="43">
        <v>2033</v>
      </c>
      <c r="B12" s="44">
        <f>ROUND(B11*(1+Paramètres!B35),0)</f>
      </c>
      <c r="C12" s="50">
        <f>Paramètres!B32</f>
      </c>
      <c r="D12" s="50">
        <f>B12-C12</f>
      </c>
      <c r="E12" s="51">
        <f>IFERROR(-CUMIPMT(Paramètres!B15/12,Paramètres!B16*12,Paramètres!B14,85,96,0),0)</f>
      </c>
      <c r="F12" s="51">
        <f>Paramètres!B42</f>
      </c>
      <c r="G12" s="50">
        <f>D12-E12-F12</f>
      </c>
      <c r="H12" s="47">
        <f>IF(G12&gt;0,MIN(G12,Paramètres!B39)*Paramètres!B38+MAX(0,G12-Paramètres!B39)*Paramètres!B40,0)</f>
      </c>
      <c r="I12" s="50">
        <f>G12-H12</f>
      </c>
      <c r="J12" s="51">
        <f>Paramètres!B17*12</f>
      </c>
      <c r="K12" s="48">
        <f>D12-H12-J12</f>
      </c>
      <c r="L12" s="51">
        <f>IFERROR(Paramètres!B14+CUMPRINC(Paramètres!B15/12,Paramètres!B16*12,Paramètres!B14,1,96,0),0)</f>
      </c>
      <c r="M12" s="44">
        <f>ROUND(M11*(1+Paramètres!B36),0)</f>
      </c>
      <c r="N12" s="49">
        <f>M12-L12</f>
      </c>
    </row>
    <row r="13" ht="18" customHeight="1" spans="1:14" x14ac:dyDescent="0.25">
      <c r="A13" s="43">
        <v>2034</v>
      </c>
      <c r="B13" s="44">
        <f>ROUND(B12*(1+Paramètres!B35),0)</f>
      </c>
      <c r="C13" s="45">
        <f>Paramètres!B32</f>
      </c>
      <c r="D13" s="45">
        <f>B13-C13</f>
      </c>
      <c r="E13" s="46">
        <f>IFERROR(-CUMIPMT(Paramètres!B15/12,Paramètres!B16*12,Paramètres!B14,97,108,0),0)</f>
      </c>
      <c r="F13" s="46">
        <f>Paramètres!B42</f>
      </c>
      <c r="G13" s="45">
        <f>D13-E13-F13</f>
      </c>
      <c r="H13" s="47">
        <f>IF(G13&gt;0,MIN(G13,Paramètres!B39)*Paramètres!B38+MAX(0,G13-Paramètres!B39)*Paramètres!B40,0)</f>
      </c>
      <c r="I13" s="45">
        <f>G13-H13</f>
      </c>
      <c r="J13" s="46">
        <f>Paramètres!B17*12</f>
      </c>
      <c r="K13" s="48">
        <f>D13-H13-J13</f>
      </c>
      <c r="L13" s="46">
        <f>IFERROR(Paramètres!B14+CUMPRINC(Paramètres!B15/12,Paramètres!B16*12,Paramètres!B14,1,108,0),0)</f>
      </c>
      <c r="M13" s="44">
        <f>ROUND(M12*(1+Paramètres!B36),0)</f>
      </c>
      <c r="N13" s="49">
        <f>M13-L13</f>
      </c>
    </row>
    <row r="14" ht="18" customHeight="1" spans="1:14" x14ac:dyDescent="0.25">
      <c r="A14" s="43">
        <v>2035</v>
      </c>
      <c r="B14" s="44">
        <f>ROUND(B13*(1+Paramètres!B35),0)</f>
      </c>
      <c r="C14" s="50">
        <f>Paramètres!B32</f>
      </c>
      <c r="D14" s="50">
        <f>B14-C14</f>
      </c>
      <c r="E14" s="51">
        <f>IFERROR(-CUMIPMT(Paramètres!B15/12,Paramètres!B16*12,Paramètres!B14,109,120,0),0)</f>
      </c>
      <c r="F14" s="51">
        <f>Paramètres!B42</f>
      </c>
      <c r="G14" s="50">
        <f>D14-E14-F14</f>
      </c>
      <c r="H14" s="47">
        <f>IF(G14&gt;0,MIN(G14,Paramètres!B39)*Paramètres!B38+MAX(0,G14-Paramètres!B39)*Paramètres!B40,0)</f>
      </c>
      <c r="I14" s="50">
        <f>G14-H14</f>
      </c>
      <c r="J14" s="51">
        <f>Paramètres!B17*12</f>
      </c>
      <c r="K14" s="48">
        <f>D14-H14-J14</f>
      </c>
      <c r="L14" s="51">
        <f>IFERROR(Paramètres!B14+CUMPRINC(Paramètres!B15/12,Paramètres!B16*12,Paramètres!B14,1,120,0),0)</f>
      </c>
      <c r="M14" s="44">
        <f>ROUND(M13*(1+Paramètres!B36),0)</f>
      </c>
      <c r="N14" s="49">
        <f>M14-L14</f>
      </c>
    </row>
    <row r="15" ht="18" customHeight="1" spans="1:14" x14ac:dyDescent="0.25">
      <c r="A15" s="43">
        <v>2036</v>
      </c>
      <c r="B15" s="44">
        <f>ROUND(B14*(1+Paramètres!B35),0)</f>
      </c>
      <c r="C15" s="45">
        <f>Paramètres!B32</f>
      </c>
      <c r="D15" s="45">
        <f>B15-C15</f>
      </c>
      <c r="E15" s="46">
        <f>IFERROR(-CUMIPMT(Paramètres!B15/12,Paramètres!B16*12,Paramètres!B14,121,132,0),0)</f>
      </c>
      <c r="F15" s="46">
        <f>Paramètres!B42</f>
      </c>
      <c r="G15" s="45">
        <f>D15-E15-F15</f>
      </c>
      <c r="H15" s="47">
        <f>IF(G15&gt;0,MIN(G15,Paramètres!B39)*Paramètres!B38+MAX(0,G15-Paramètres!B39)*Paramètres!B40,0)</f>
      </c>
      <c r="I15" s="45">
        <f>G15-H15</f>
      </c>
      <c r="J15" s="46">
        <f>Paramètres!B17*12</f>
      </c>
      <c r="K15" s="48">
        <f>D15-H15-J15</f>
      </c>
      <c r="L15" s="46">
        <f>IFERROR(Paramètres!B14+CUMPRINC(Paramètres!B15/12,Paramètres!B16*12,Paramètres!B14,1,132,0),0)</f>
      </c>
      <c r="M15" s="44">
        <f>ROUND(M14*(1+Paramètres!B36),0)</f>
      </c>
      <c r="N15" s="49">
        <f>M15-L15</f>
      </c>
    </row>
    <row r="16" ht="18" customHeight="1" spans="1:14" x14ac:dyDescent="0.25">
      <c r="A16" s="43">
        <v>2037</v>
      </c>
      <c r="B16" s="44">
        <f>ROUND(B15*(1+Paramètres!B35),0)</f>
      </c>
      <c r="C16" s="50">
        <f>Paramètres!B32</f>
      </c>
      <c r="D16" s="50">
        <f>B16-C16</f>
      </c>
      <c r="E16" s="51">
        <f>IFERROR(-CUMIPMT(Paramètres!B15/12,Paramètres!B16*12,Paramètres!B14,133,144,0),0)</f>
      </c>
      <c r="F16" s="51">
        <f>Paramètres!B42</f>
      </c>
      <c r="G16" s="50">
        <f>D16-E16-F16</f>
      </c>
      <c r="H16" s="47">
        <f>IF(G16&gt;0,MIN(G16,Paramètres!B39)*Paramètres!B38+MAX(0,G16-Paramètres!B39)*Paramètres!B40,0)</f>
      </c>
      <c r="I16" s="50">
        <f>G16-H16</f>
      </c>
      <c r="J16" s="51">
        <f>Paramètres!B17*12</f>
      </c>
      <c r="K16" s="48">
        <f>D16-H16-J16</f>
      </c>
      <c r="L16" s="51">
        <f>IFERROR(Paramètres!B14+CUMPRINC(Paramètres!B15/12,Paramètres!B16*12,Paramètres!B14,1,144,0),0)</f>
      </c>
      <c r="M16" s="44">
        <f>ROUND(M15*(1+Paramètres!B36),0)</f>
      </c>
      <c r="N16" s="49">
        <f>M16-L16</f>
      </c>
    </row>
    <row r="17" ht="18" customHeight="1" spans="1:14" x14ac:dyDescent="0.25">
      <c r="A17" s="43">
        <v>2038</v>
      </c>
      <c r="B17" s="44">
        <f>ROUND(B16*(1+Paramètres!B35),0)</f>
      </c>
      <c r="C17" s="45">
        <f>Paramètres!B32</f>
      </c>
      <c r="D17" s="45">
        <f>B17-C17</f>
      </c>
      <c r="E17" s="46">
        <f>IFERROR(-CUMIPMT(Paramètres!B15/12,Paramètres!B16*12,Paramètres!B14,145,156,0),0)</f>
      </c>
      <c r="F17" s="46">
        <f>Paramètres!B42</f>
      </c>
      <c r="G17" s="45">
        <f>D17-E17-F17</f>
      </c>
      <c r="H17" s="47">
        <f>IF(G17&gt;0,MIN(G17,Paramètres!B39)*Paramètres!B38+MAX(0,G17-Paramètres!B39)*Paramètres!B40,0)</f>
      </c>
      <c r="I17" s="45">
        <f>G17-H17</f>
      </c>
      <c r="J17" s="46">
        <f>Paramètres!B17*12</f>
      </c>
      <c r="K17" s="48">
        <f>D17-H17-J17</f>
      </c>
      <c r="L17" s="46">
        <f>IFERROR(Paramètres!B14+CUMPRINC(Paramètres!B15/12,Paramètres!B16*12,Paramètres!B14,1,156,0),0)</f>
      </c>
      <c r="M17" s="44">
        <f>ROUND(M16*(1+Paramètres!B36),0)</f>
      </c>
      <c r="N17" s="49">
        <f>M17-L17</f>
      </c>
    </row>
    <row r="18" ht="18" customHeight="1" spans="1:14" x14ac:dyDescent="0.25">
      <c r="A18" s="43">
        <v>2039</v>
      </c>
      <c r="B18" s="44">
        <f>ROUND(B17*(1+Paramètres!B35),0)</f>
      </c>
      <c r="C18" s="50">
        <f>Paramètres!B32</f>
      </c>
      <c r="D18" s="50">
        <f>B18-C18</f>
      </c>
      <c r="E18" s="51">
        <f>IFERROR(-CUMIPMT(Paramètres!B15/12,Paramètres!B16*12,Paramètres!B14,157,168,0),0)</f>
      </c>
      <c r="F18" s="51">
        <f>Paramètres!B42</f>
      </c>
      <c r="G18" s="50">
        <f>D18-E18-F18</f>
      </c>
      <c r="H18" s="47">
        <f>IF(G18&gt;0,MIN(G18,Paramètres!B39)*Paramètres!B38+MAX(0,G18-Paramètres!B39)*Paramètres!B40,0)</f>
      </c>
      <c r="I18" s="50">
        <f>G18-H18</f>
      </c>
      <c r="J18" s="51">
        <f>Paramètres!B17*12</f>
      </c>
      <c r="K18" s="48">
        <f>D18-H18-J18</f>
      </c>
      <c r="L18" s="51">
        <f>IFERROR(Paramètres!B14+CUMPRINC(Paramètres!B15/12,Paramètres!B16*12,Paramètres!B14,1,168,0),0)</f>
      </c>
      <c r="M18" s="44">
        <f>ROUND(M17*(1+Paramètres!B36),0)</f>
      </c>
      <c r="N18" s="49">
        <f>M18-L18</f>
      </c>
    </row>
    <row r="19" ht="18" customHeight="1" spans="1:14" x14ac:dyDescent="0.25">
      <c r="A19" s="43">
        <v>2040</v>
      </c>
      <c r="B19" s="44">
        <f>ROUND(B18*(1+Paramètres!B35),0)</f>
      </c>
      <c r="C19" s="45">
        <f>Paramètres!B32</f>
      </c>
      <c r="D19" s="45">
        <f>B19-C19</f>
      </c>
      <c r="E19" s="46">
        <f>IFERROR(-CUMIPMT(Paramètres!B15/12,Paramètres!B16*12,Paramètres!B14,169,180,0),0)</f>
      </c>
      <c r="F19" s="46">
        <f>Paramètres!B42</f>
      </c>
      <c r="G19" s="45">
        <f>D19-E19-F19</f>
      </c>
      <c r="H19" s="47">
        <f>IF(G19&gt;0,MIN(G19,Paramètres!B39)*Paramètres!B38+MAX(0,G19-Paramètres!B39)*Paramètres!B40,0)</f>
      </c>
      <c r="I19" s="45">
        <f>G19-H19</f>
      </c>
      <c r="J19" s="46">
        <f>Paramètres!B17*12</f>
      </c>
      <c r="K19" s="48">
        <f>D19-H19-J19</f>
      </c>
      <c r="L19" s="46">
        <f>IFERROR(Paramètres!B14+CUMPRINC(Paramètres!B15/12,Paramètres!B16*12,Paramètres!B14,1,180,0),0)</f>
      </c>
      <c r="M19" s="44">
        <f>ROUND(M18*(1+Paramètres!B36),0)</f>
      </c>
      <c r="N19" s="49">
        <f>M19-L19</f>
      </c>
    </row>
    <row r="20" ht="18" customHeight="1" spans="1:14" x14ac:dyDescent="0.25">
      <c r="A20" s="43">
        <v>2041</v>
      </c>
      <c r="B20" s="44">
        <f>ROUND(B19*(1+Paramètres!B35),0)</f>
      </c>
      <c r="C20" s="50">
        <f>Paramètres!B32</f>
      </c>
      <c r="D20" s="50">
        <f>B20-C20</f>
      </c>
      <c r="E20" s="51">
        <f>IFERROR(-CUMIPMT(Paramètres!B15/12,Paramètres!B16*12,Paramètres!B14,181,192,0),0)</f>
      </c>
      <c r="F20" s="51">
        <f>Paramètres!B42</f>
      </c>
      <c r="G20" s="50">
        <f>D20-E20-F20</f>
      </c>
      <c r="H20" s="47">
        <f>IF(G20&gt;0,MIN(G20,Paramètres!B39)*Paramètres!B38+MAX(0,G20-Paramètres!B39)*Paramètres!B40,0)</f>
      </c>
      <c r="I20" s="50">
        <f>G20-H20</f>
      </c>
      <c r="J20" s="51">
        <f>Paramètres!B17*12</f>
      </c>
      <c r="K20" s="48">
        <f>D20-H20-J20</f>
      </c>
      <c r="L20" s="51">
        <f>IFERROR(Paramètres!B14+CUMPRINC(Paramètres!B15/12,Paramètres!B16*12,Paramètres!B14,1,192,0),0)</f>
      </c>
      <c r="M20" s="44">
        <f>ROUND(M19*(1+Paramètres!B36),0)</f>
      </c>
      <c r="N20" s="49">
        <f>M20-L20</f>
      </c>
    </row>
    <row r="21" ht="18" customHeight="1" spans="1:14" x14ac:dyDescent="0.25">
      <c r="A21" s="43">
        <v>2042</v>
      </c>
      <c r="B21" s="44">
        <f>ROUND(B20*(1+Paramètres!B35),0)</f>
      </c>
      <c r="C21" s="45">
        <f>Paramètres!B32</f>
      </c>
      <c r="D21" s="45">
        <f>B21-C21</f>
      </c>
      <c r="E21" s="46">
        <f>IFERROR(-CUMIPMT(Paramètres!B15/12,Paramètres!B16*12,Paramètres!B14,193,204,0),0)</f>
      </c>
      <c r="F21" s="46">
        <f>Paramètres!B42</f>
      </c>
      <c r="G21" s="45">
        <f>D21-E21-F21</f>
      </c>
      <c r="H21" s="47">
        <f>IF(G21&gt;0,MIN(G21,Paramètres!B39)*Paramètres!B38+MAX(0,G21-Paramètres!B39)*Paramètres!B40,0)</f>
      </c>
      <c r="I21" s="45">
        <f>G21-H21</f>
      </c>
      <c r="J21" s="46">
        <f>Paramètres!B17*12</f>
      </c>
      <c r="K21" s="48">
        <f>D21-H21-J21</f>
      </c>
      <c r="L21" s="46">
        <f>IFERROR(Paramètres!B14+CUMPRINC(Paramètres!B15/12,Paramètres!B16*12,Paramètres!B14,1,204,0),0)</f>
      </c>
      <c r="M21" s="44">
        <f>ROUND(M20*(1+Paramètres!B36),0)</f>
      </c>
      <c r="N21" s="49">
        <f>M21-L21</f>
      </c>
    </row>
    <row r="22" ht="18" customHeight="1" spans="1:14" x14ac:dyDescent="0.25">
      <c r="A22" s="43">
        <v>2043</v>
      </c>
      <c r="B22" s="44">
        <f>ROUND(B21*(1+Paramètres!B35),0)</f>
      </c>
      <c r="C22" s="50">
        <f>Paramètres!B32</f>
      </c>
      <c r="D22" s="50">
        <f>B22-C22</f>
      </c>
      <c r="E22" s="51">
        <f>IFERROR(-CUMIPMT(Paramètres!B15/12,Paramètres!B16*12,Paramètres!B14,205,216,0),0)</f>
      </c>
      <c r="F22" s="51">
        <f>Paramètres!B42</f>
      </c>
      <c r="G22" s="50">
        <f>D22-E22-F22</f>
      </c>
      <c r="H22" s="47">
        <f>IF(G22&gt;0,MIN(G22,Paramètres!B39)*Paramètres!B38+MAX(0,G22-Paramètres!B39)*Paramètres!B40,0)</f>
      </c>
      <c r="I22" s="50">
        <f>G22-H22</f>
      </c>
      <c r="J22" s="51">
        <f>Paramètres!B17*12</f>
      </c>
      <c r="K22" s="48">
        <f>D22-H22-J22</f>
      </c>
      <c r="L22" s="51">
        <f>IFERROR(Paramètres!B14+CUMPRINC(Paramètres!B15/12,Paramètres!B16*12,Paramètres!B14,1,216,0),0)</f>
      </c>
      <c r="M22" s="44">
        <f>ROUND(M21*(1+Paramètres!B36),0)</f>
      </c>
      <c r="N22" s="49">
        <f>M22-L22</f>
      </c>
    </row>
    <row r="23" ht="18" customHeight="1" spans="1:14" x14ac:dyDescent="0.25">
      <c r="A23" s="43">
        <v>2044</v>
      </c>
      <c r="B23" s="44">
        <f>ROUND(B22*(1+Paramètres!B35),0)</f>
      </c>
      <c r="C23" s="45">
        <f>Paramètres!B32</f>
      </c>
      <c r="D23" s="45">
        <f>B23-C23</f>
      </c>
      <c r="E23" s="46">
        <f>IFERROR(-CUMIPMT(Paramètres!B15/12,Paramètres!B16*12,Paramètres!B14,217,228,0),0)</f>
      </c>
      <c r="F23" s="46">
        <f>Paramètres!B42</f>
      </c>
      <c r="G23" s="45">
        <f>D23-E23-F23</f>
      </c>
      <c r="H23" s="47">
        <f>IF(G23&gt;0,MIN(G23,Paramètres!B39)*Paramètres!B38+MAX(0,G23-Paramètres!B39)*Paramètres!B40,0)</f>
      </c>
      <c r="I23" s="45">
        <f>G23-H23</f>
      </c>
      <c r="J23" s="46">
        <f>Paramètres!B17*12</f>
      </c>
      <c r="K23" s="48">
        <f>D23-H23-J23</f>
      </c>
      <c r="L23" s="46">
        <f>IFERROR(Paramètres!B14+CUMPRINC(Paramètres!B15/12,Paramètres!B16*12,Paramètres!B14,1,228,0),0)</f>
      </c>
      <c r="M23" s="44">
        <f>ROUND(M22*(1+Paramètres!B36),0)</f>
      </c>
      <c r="N23" s="49">
        <f>M23-L23</f>
      </c>
    </row>
    <row r="24" ht="18" customHeight="1" spans="1:14" x14ac:dyDescent="0.25">
      <c r="A24" s="43">
        <v>2045</v>
      </c>
      <c r="B24" s="44">
        <f>ROUND(B23*(1+Paramètres!B35),0)</f>
      </c>
      <c r="C24" s="50">
        <f>Paramètres!B32</f>
      </c>
      <c r="D24" s="50">
        <f>B24-C24</f>
      </c>
      <c r="E24" s="51">
        <f>IFERROR(-CUMIPMT(Paramètres!B15/12,Paramètres!B16*12,Paramètres!B14,229,240,0),0)</f>
      </c>
      <c r="F24" s="51">
        <f>Paramètres!B42</f>
      </c>
      <c r="G24" s="50">
        <f>D24-E24-F24</f>
      </c>
      <c r="H24" s="47">
        <f>IF(G24&gt;0,MIN(G24,Paramètres!B39)*Paramètres!B38+MAX(0,G24-Paramètres!B39)*Paramètres!B40,0)</f>
      </c>
      <c r="I24" s="50">
        <f>G24-H24</f>
      </c>
      <c r="J24" s="51">
        <f>Paramètres!B17*12</f>
      </c>
      <c r="K24" s="48">
        <f>D24-H24-J24</f>
      </c>
      <c r="L24" s="51">
        <f>IFERROR(Paramètres!B14+CUMPRINC(Paramètres!B15/12,Paramètres!B16*12,Paramètres!B14,1,240,0),0)</f>
      </c>
      <c r="M24" s="44">
        <f>ROUND(M23*(1+Paramètres!B36),0)</f>
      </c>
      <c r="N24" s="49">
        <f>M24-L24</f>
      </c>
    </row>
    <row r="25" ht="21" customHeight="1" spans="1:14" x14ac:dyDescent="0.25">
      <c r="A25" s="52" t="s">
        <v>112</v>
      </c>
      <c r="B25" s="53">
        <f>SUM(B5:B24)</f>
      </c>
      <c r="C25" s="53">
        <f>SUM(C5:C24)</f>
      </c>
      <c r="D25" s="53">
        <f>SUM(D5:D24)</f>
      </c>
      <c r="E25" s="54"/>
      <c r="F25" s="54"/>
      <c r="G25" s="54"/>
      <c r="H25" s="53">
        <f>SUM(H5:H24)</f>
      </c>
      <c r="I25" s="54"/>
      <c r="J25" s="53">
        <f>SUM(J5:J24)</f>
      </c>
      <c r="K25" s="53">
        <f>SUM(K5:K24)</f>
      </c>
      <c r="L25" s="53">
        <f>L24</f>
      </c>
      <c r="M25" s="53">
        <f>M24</f>
      </c>
      <c r="N25" s="53">
        <f>N24</f>
      </c>
    </row>
    <row r="26" ht="10" customHeight="1" x14ac:dyDescent="0.25"/>
    <row r="27" ht="20" customHeight="1" spans="1:14" x14ac:dyDescent="0.25">
      <c r="A27" s="55" t="s">
        <v>113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</sheetData>
  <mergeCells count="3">
    <mergeCell ref="A1:N1"/>
    <mergeCell ref="A2:N2"/>
    <mergeCell ref="A27:N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8" customWidth="1"/>
    <col min="2" max="4" width="20" customWidth="1"/>
    <col min="5" max="5" width="22" customWidth="1"/>
    <col min="6" max="6" width="20" customWidth="1"/>
    <col min="7" max="7" width="14" customWidth="1"/>
  </cols>
  <sheetData>
    <row r="1" ht="28" customHeight="1" spans="1:7" x14ac:dyDescent="0.25">
      <c r="A1" s="40" t="s">
        <v>114</v>
      </c>
      <c r="B1" s="40"/>
      <c r="C1" s="40"/>
      <c r="D1" s="40"/>
      <c r="E1" s="40"/>
      <c r="F1" s="40"/>
      <c r="G1" s="40"/>
    </row>
    <row r="2" ht="16" customHeight="1" spans="1:7" x14ac:dyDescent="0.25">
      <c r="A2" s="56" t="s">
        <v>115</v>
      </c>
      <c r="B2" s="56"/>
      <c r="C2" s="56"/>
      <c r="D2" s="56"/>
      <c r="E2" s="56"/>
      <c r="F2" s="56"/>
      <c r="G2" s="56"/>
    </row>
    <row r="3" ht="8" customHeight="1" x14ac:dyDescent="0.25"/>
    <row r="4" ht="21" customHeight="1" spans="1:7" x14ac:dyDescent="0.25">
      <c r="A4" s="57" t="s">
        <v>98</v>
      </c>
      <c r="B4" s="57" t="s">
        <v>116</v>
      </c>
      <c r="C4" s="57" t="s">
        <v>117</v>
      </c>
      <c r="D4" s="57" t="s">
        <v>118</v>
      </c>
      <c r="E4" s="57" t="s">
        <v>119</v>
      </c>
      <c r="F4" s="57" t="s">
        <v>120</v>
      </c>
      <c r="G4" s="57" t="s">
        <v>121</v>
      </c>
    </row>
    <row r="5" ht="18" customHeight="1" spans="1:7" x14ac:dyDescent="0.25">
      <c r="A5" s="43">
        <v>1</v>
      </c>
      <c r="B5" s="37">
        <f>Paramètres!B14</f>
      </c>
      <c r="C5" s="37">
        <f>Paramètres!B17*12</f>
      </c>
      <c r="D5" s="58">
        <f>IFERROR(-CUMIPMT(Paramètres!B15/12,Paramètres!B16*12,Paramètres!B14,1,12,0),0)</f>
      </c>
      <c r="E5" s="59">
        <f>IFERROR(-CUMPRINC(Paramètres!B15/12,Paramètres!B16*12,Paramètres!B14,1,12,0),0)</f>
      </c>
      <c r="F5" s="60">
        <f>B5-E5</f>
      </c>
      <c r="G5" s="61">
        <f>IFERROR(1-F5/Paramètres!B14,0)</f>
      </c>
    </row>
    <row r="6" ht="18" customHeight="1" spans="1:7" x14ac:dyDescent="0.25">
      <c r="A6" s="43">
        <v>2</v>
      </c>
      <c r="B6" s="38">
        <f>F5</f>
      </c>
      <c r="C6" s="38">
        <f>Paramètres!B17*12</f>
      </c>
      <c r="D6" s="58">
        <f>IFERROR(-CUMIPMT(Paramètres!B15/12,Paramètres!B16*12,Paramètres!B14,13,24,0),0)</f>
      </c>
      <c r="E6" s="59">
        <f>IFERROR(-CUMPRINC(Paramètres!B15/12,Paramètres!B16*12,Paramètres!B14,13,24,0),0)</f>
      </c>
      <c r="F6" s="62">
        <f>B6-E6</f>
      </c>
      <c r="G6" s="61">
        <f>IFERROR(1-F6/Paramètres!B14,0)</f>
      </c>
    </row>
    <row r="7" ht="18" customHeight="1" spans="1:7" x14ac:dyDescent="0.25">
      <c r="A7" s="43">
        <v>3</v>
      </c>
      <c r="B7" s="37">
        <f>F6</f>
      </c>
      <c r="C7" s="37">
        <f>Paramètres!B17*12</f>
      </c>
      <c r="D7" s="58">
        <f>IFERROR(-CUMIPMT(Paramètres!B15/12,Paramètres!B16*12,Paramètres!B14,25,36,0),0)</f>
      </c>
      <c r="E7" s="59">
        <f>IFERROR(-CUMPRINC(Paramètres!B15/12,Paramètres!B16*12,Paramètres!B14,25,36,0),0)</f>
      </c>
      <c r="F7" s="60">
        <f>B7-E7</f>
      </c>
      <c r="G7" s="61">
        <f>IFERROR(1-F7/Paramètres!B14,0)</f>
      </c>
    </row>
    <row r="8" ht="18" customHeight="1" spans="1:7" x14ac:dyDescent="0.25">
      <c r="A8" s="43">
        <v>4</v>
      </c>
      <c r="B8" s="38">
        <f>F7</f>
      </c>
      <c r="C8" s="38">
        <f>Paramètres!B17*12</f>
      </c>
      <c r="D8" s="58">
        <f>IFERROR(-CUMIPMT(Paramètres!B15/12,Paramètres!B16*12,Paramètres!B14,37,48,0),0)</f>
      </c>
      <c r="E8" s="59">
        <f>IFERROR(-CUMPRINC(Paramètres!B15/12,Paramètres!B16*12,Paramètres!B14,37,48,0),0)</f>
      </c>
      <c r="F8" s="62">
        <f>B8-E8</f>
      </c>
      <c r="G8" s="61">
        <f>IFERROR(1-F8/Paramètres!B14,0)</f>
      </c>
    </row>
    <row r="9" ht="18" customHeight="1" spans="1:7" x14ac:dyDescent="0.25">
      <c r="A9" s="43">
        <v>5</v>
      </c>
      <c r="B9" s="37">
        <f>F8</f>
      </c>
      <c r="C9" s="37">
        <f>Paramètres!B17*12</f>
      </c>
      <c r="D9" s="58">
        <f>IFERROR(-CUMIPMT(Paramètres!B15/12,Paramètres!B16*12,Paramètres!B14,49,60,0),0)</f>
      </c>
      <c r="E9" s="59">
        <f>IFERROR(-CUMPRINC(Paramètres!B15/12,Paramètres!B16*12,Paramètres!B14,49,60,0),0)</f>
      </c>
      <c r="F9" s="60">
        <f>B9-E9</f>
      </c>
      <c r="G9" s="61">
        <f>IFERROR(1-F9/Paramètres!B14,0)</f>
      </c>
    </row>
    <row r="10" ht="18" customHeight="1" spans="1:7" x14ac:dyDescent="0.25">
      <c r="A10" s="43">
        <v>6</v>
      </c>
      <c r="B10" s="38">
        <f>F9</f>
      </c>
      <c r="C10" s="38">
        <f>Paramètres!B17*12</f>
      </c>
      <c r="D10" s="58">
        <f>IFERROR(-CUMIPMT(Paramètres!B15/12,Paramètres!B16*12,Paramètres!B14,61,72,0),0)</f>
      </c>
      <c r="E10" s="59">
        <f>IFERROR(-CUMPRINC(Paramètres!B15/12,Paramètres!B16*12,Paramètres!B14,61,72,0),0)</f>
      </c>
      <c r="F10" s="62">
        <f>B10-E10</f>
      </c>
      <c r="G10" s="61">
        <f>IFERROR(1-F10/Paramètres!B14,0)</f>
      </c>
    </row>
    <row r="11" ht="18" customHeight="1" spans="1:7" x14ac:dyDescent="0.25">
      <c r="A11" s="43">
        <v>7</v>
      </c>
      <c r="B11" s="37">
        <f>F10</f>
      </c>
      <c r="C11" s="37">
        <f>Paramètres!B17*12</f>
      </c>
      <c r="D11" s="58">
        <f>IFERROR(-CUMIPMT(Paramètres!B15/12,Paramètres!B16*12,Paramètres!B14,73,84,0),0)</f>
      </c>
      <c r="E11" s="59">
        <f>IFERROR(-CUMPRINC(Paramètres!B15/12,Paramètres!B16*12,Paramètres!B14,73,84,0),0)</f>
      </c>
      <c r="F11" s="60">
        <f>B11-E11</f>
      </c>
      <c r="G11" s="61">
        <f>IFERROR(1-F11/Paramètres!B14,0)</f>
      </c>
    </row>
    <row r="12" ht="18" customHeight="1" spans="1:7" x14ac:dyDescent="0.25">
      <c r="A12" s="43">
        <v>8</v>
      </c>
      <c r="B12" s="38">
        <f>F11</f>
      </c>
      <c r="C12" s="38">
        <f>Paramètres!B17*12</f>
      </c>
      <c r="D12" s="58">
        <f>IFERROR(-CUMIPMT(Paramètres!B15/12,Paramètres!B16*12,Paramètres!B14,85,96,0),0)</f>
      </c>
      <c r="E12" s="59">
        <f>IFERROR(-CUMPRINC(Paramètres!B15/12,Paramètres!B16*12,Paramètres!B14,85,96,0),0)</f>
      </c>
      <c r="F12" s="62">
        <f>B12-E12</f>
      </c>
      <c r="G12" s="61">
        <f>IFERROR(1-F12/Paramètres!B14,0)</f>
      </c>
    </row>
    <row r="13" ht="18" customHeight="1" spans="1:7" x14ac:dyDescent="0.25">
      <c r="A13" s="43">
        <v>9</v>
      </c>
      <c r="B13" s="37">
        <f>F12</f>
      </c>
      <c r="C13" s="37">
        <f>Paramètres!B17*12</f>
      </c>
      <c r="D13" s="58">
        <f>IFERROR(-CUMIPMT(Paramètres!B15/12,Paramètres!B16*12,Paramètres!B14,97,108,0),0)</f>
      </c>
      <c r="E13" s="59">
        <f>IFERROR(-CUMPRINC(Paramètres!B15/12,Paramètres!B16*12,Paramètres!B14,97,108,0),0)</f>
      </c>
      <c r="F13" s="60">
        <f>B13-E13</f>
      </c>
      <c r="G13" s="61">
        <f>IFERROR(1-F13/Paramètres!B14,0)</f>
      </c>
    </row>
    <row r="14" ht="18" customHeight="1" spans="1:7" x14ac:dyDescent="0.25">
      <c r="A14" s="43">
        <v>10</v>
      </c>
      <c r="B14" s="38">
        <f>F13</f>
      </c>
      <c r="C14" s="38">
        <f>Paramètres!B17*12</f>
      </c>
      <c r="D14" s="58">
        <f>IFERROR(-CUMIPMT(Paramètres!B15/12,Paramètres!B16*12,Paramètres!B14,109,120,0),0)</f>
      </c>
      <c r="E14" s="59">
        <f>IFERROR(-CUMPRINC(Paramètres!B15/12,Paramètres!B16*12,Paramètres!B14,109,120,0),0)</f>
      </c>
      <c r="F14" s="62">
        <f>B14-E14</f>
      </c>
      <c r="G14" s="61">
        <f>IFERROR(1-F14/Paramètres!B14,0)</f>
      </c>
    </row>
    <row r="15" ht="18" customHeight="1" spans="1:7" x14ac:dyDescent="0.25">
      <c r="A15" s="43">
        <v>11</v>
      </c>
      <c r="B15" s="37">
        <f>F14</f>
      </c>
      <c r="C15" s="37">
        <f>Paramètres!B17*12</f>
      </c>
      <c r="D15" s="58">
        <f>IFERROR(-CUMIPMT(Paramètres!B15/12,Paramètres!B16*12,Paramètres!B14,121,132,0),0)</f>
      </c>
      <c r="E15" s="59">
        <f>IFERROR(-CUMPRINC(Paramètres!B15/12,Paramètres!B16*12,Paramètres!B14,121,132,0),0)</f>
      </c>
      <c r="F15" s="60">
        <f>B15-E15</f>
      </c>
      <c r="G15" s="61">
        <f>IFERROR(1-F15/Paramètres!B14,0)</f>
      </c>
    </row>
    <row r="16" ht="18" customHeight="1" spans="1:7" x14ac:dyDescent="0.25">
      <c r="A16" s="43">
        <v>12</v>
      </c>
      <c r="B16" s="38">
        <f>F15</f>
      </c>
      <c r="C16" s="38">
        <f>Paramètres!B17*12</f>
      </c>
      <c r="D16" s="58">
        <f>IFERROR(-CUMIPMT(Paramètres!B15/12,Paramètres!B16*12,Paramètres!B14,133,144,0),0)</f>
      </c>
      <c r="E16" s="59">
        <f>IFERROR(-CUMPRINC(Paramètres!B15/12,Paramètres!B16*12,Paramètres!B14,133,144,0),0)</f>
      </c>
      <c r="F16" s="62">
        <f>B16-E16</f>
      </c>
      <c r="G16" s="61">
        <f>IFERROR(1-F16/Paramètres!B14,0)</f>
      </c>
    </row>
    <row r="17" ht="18" customHeight="1" spans="1:7" x14ac:dyDescent="0.25">
      <c r="A17" s="43">
        <v>13</v>
      </c>
      <c r="B17" s="37">
        <f>F16</f>
      </c>
      <c r="C17" s="37">
        <f>Paramètres!B17*12</f>
      </c>
      <c r="D17" s="58">
        <f>IFERROR(-CUMIPMT(Paramètres!B15/12,Paramètres!B16*12,Paramètres!B14,145,156,0),0)</f>
      </c>
      <c r="E17" s="59">
        <f>IFERROR(-CUMPRINC(Paramètres!B15/12,Paramètres!B16*12,Paramètres!B14,145,156,0),0)</f>
      </c>
      <c r="F17" s="60">
        <f>B17-E17</f>
      </c>
      <c r="G17" s="61">
        <f>IFERROR(1-F17/Paramètres!B14,0)</f>
      </c>
    </row>
    <row r="18" ht="18" customHeight="1" spans="1:7" x14ac:dyDescent="0.25">
      <c r="A18" s="43">
        <v>14</v>
      </c>
      <c r="B18" s="38">
        <f>F17</f>
      </c>
      <c r="C18" s="38">
        <f>Paramètres!B17*12</f>
      </c>
      <c r="D18" s="58">
        <f>IFERROR(-CUMIPMT(Paramètres!B15/12,Paramètres!B16*12,Paramètres!B14,157,168,0),0)</f>
      </c>
      <c r="E18" s="59">
        <f>IFERROR(-CUMPRINC(Paramètres!B15/12,Paramètres!B16*12,Paramètres!B14,157,168,0),0)</f>
      </c>
      <c r="F18" s="62">
        <f>B18-E18</f>
      </c>
      <c r="G18" s="61">
        <f>IFERROR(1-F18/Paramètres!B14,0)</f>
      </c>
    </row>
    <row r="19" ht="18" customHeight="1" spans="1:7" x14ac:dyDescent="0.25">
      <c r="A19" s="43">
        <v>15</v>
      </c>
      <c r="B19" s="37">
        <f>F18</f>
      </c>
      <c r="C19" s="37">
        <f>Paramètres!B17*12</f>
      </c>
      <c r="D19" s="58">
        <f>IFERROR(-CUMIPMT(Paramètres!B15/12,Paramètres!B16*12,Paramètres!B14,169,180,0),0)</f>
      </c>
      <c r="E19" s="59">
        <f>IFERROR(-CUMPRINC(Paramètres!B15/12,Paramètres!B16*12,Paramètres!B14,169,180,0),0)</f>
      </c>
      <c r="F19" s="60">
        <f>B19-E19</f>
      </c>
      <c r="G19" s="61">
        <f>IFERROR(1-F19/Paramètres!B14,0)</f>
      </c>
    </row>
    <row r="20" ht="18" customHeight="1" spans="1:7" x14ac:dyDescent="0.25">
      <c r="A20" s="43">
        <v>16</v>
      </c>
      <c r="B20" s="38">
        <f>F19</f>
      </c>
      <c r="C20" s="38">
        <f>Paramètres!B17*12</f>
      </c>
      <c r="D20" s="58">
        <f>IFERROR(-CUMIPMT(Paramètres!B15/12,Paramètres!B16*12,Paramètres!B14,181,192,0),0)</f>
      </c>
      <c r="E20" s="59">
        <f>IFERROR(-CUMPRINC(Paramètres!B15/12,Paramètres!B16*12,Paramètres!B14,181,192,0),0)</f>
      </c>
      <c r="F20" s="62">
        <f>B20-E20</f>
      </c>
      <c r="G20" s="61">
        <f>IFERROR(1-F20/Paramètres!B14,0)</f>
      </c>
    </row>
    <row r="21" ht="18" customHeight="1" spans="1:7" x14ac:dyDescent="0.25">
      <c r="A21" s="43">
        <v>17</v>
      </c>
      <c r="B21" s="37">
        <f>F20</f>
      </c>
      <c r="C21" s="37">
        <f>Paramètres!B17*12</f>
      </c>
      <c r="D21" s="58">
        <f>IFERROR(-CUMIPMT(Paramètres!B15/12,Paramètres!B16*12,Paramètres!B14,193,204,0),0)</f>
      </c>
      <c r="E21" s="59">
        <f>IFERROR(-CUMPRINC(Paramètres!B15/12,Paramètres!B16*12,Paramètres!B14,193,204,0),0)</f>
      </c>
      <c r="F21" s="60">
        <f>B21-E21</f>
      </c>
      <c r="G21" s="61">
        <f>IFERROR(1-F21/Paramètres!B14,0)</f>
      </c>
    </row>
    <row r="22" ht="18" customHeight="1" spans="1:7" x14ac:dyDescent="0.25">
      <c r="A22" s="43">
        <v>18</v>
      </c>
      <c r="B22" s="38">
        <f>F21</f>
      </c>
      <c r="C22" s="38">
        <f>Paramètres!B17*12</f>
      </c>
      <c r="D22" s="58">
        <f>IFERROR(-CUMIPMT(Paramètres!B15/12,Paramètres!B16*12,Paramètres!B14,205,216,0),0)</f>
      </c>
      <c r="E22" s="59">
        <f>IFERROR(-CUMPRINC(Paramètres!B15/12,Paramètres!B16*12,Paramètres!B14,205,216,0),0)</f>
      </c>
      <c r="F22" s="62">
        <f>B22-E22</f>
      </c>
      <c r="G22" s="61">
        <f>IFERROR(1-F22/Paramètres!B14,0)</f>
      </c>
    </row>
    <row r="23" ht="18" customHeight="1" spans="1:7" x14ac:dyDescent="0.25">
      <c r="A23" s="43">
        <v>19</v>
      </c>
      <c r="B23" s="37">
        <f>F22</f>
      </c>
      <c r="C23" s="37">
        <f>Paramètres!B17*12</f>
      </c>
      <c r="D23" s="58">
        <f>IFERROR(-CUMIPMT(Paramètres!B15/12,Paramètres!B16*12,Paramètres!B14,217,228,0),0)</f>
      </c>
      <c r="E23" s="59">
        <f>IFERROR(-CUMPRINC(Paramètres!B15/12,Paramètres!B16*12,Paramètres!B14,217,228,0),0)</f>
      </c>
      <c r="F23" s="60">
        <f>B23-E23</f>
      </c>
      <c r="G23" s="61">
        <f>IFERROR(1-F23/Paramètres!B14,0)</f>
      </c>
    </row>
    <row r="24" ht="18" customHeight="1" spans="1:7" x14ac:dyDescent="0.25">
      <c r="A24" s="43">
        <v>20</v>
      </c>
      <c r="B24" s="38">
        <f>F23</f>
      </c>
      <c r="C24" s="38">
        <f>Paramètres!B17*12</f>
      </c>
      <c r="D24" s="58">
        <f>IFERROR(-CUMIPMT(Paramètres!B15/12,Paramètres!B16*12,Paramètres!B14,229,240,0),0)</f>
      </c>
      <c r="E24" s="59">
        <f>IFERROR(-CUMPRINC(Paramètres!B15/12,Paramètres!B16*12,Paramètres!B14,229,240,0),0)</f>
      </c>
      <c r="F24" s="62">
        <f>B24-E24</f>
      </c>
      <c r="G24" s="61">
        <f>IFERROR(1-F24/Paramètres!B14,0)</f>
      </c>
    </row>
    <row r="25" ht="21" customHeight="1" spans="1:7" x14ac:dyDescent="0.25">
      <c r="A25" s="52" t="s">
        <v>122</v>
      </c>
      <c r="B25" s="54"/>
      <c r="C25" s="63">
        <f>SUM(C5:C24)</f>
      </c>
      <c r="D25" s="63">
        <f>SUM(D5:D24)</f>
      </c>
      <c r="E25" s="63">
        <f>SUM(E5:E24)</f>
      </c>
      <c r="F25" s="54"/>
      <c r="G25" s="54"/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50" customWidth="1"/>
    <col min="2" max="2" width="22" customWidth="1"/>
    <col min="3" max="3" width="18" customWidth="1"/>
  </cols>
  <sheetData>
    <row r="1" ht="28" customHeight="1" spans="1:3" x14ac:dyDescent="0.25">
      <c r="A1" s="40" t="s">
        <v>123</v>
      </c>
      <c r="B1" s="40"/>
      <c r="C1" s="40"/>
    </row>
    <row r="2" ht="20" customHeight="1" spans="1:3" x14ac:dyDescent="0.25">
      <c r="A2" s="41" t="s">
        <v>124</v>
      </c>
      <c r="B2" s="41"/>
      <c r="C2" s="41"/>
    </row>
    <row r="3" ht="8" customHeight="1" x14ac:dyDescent="0.25"/>
    <row r="4" ht="22" customHeight="1" spans="1:3" x14ac:dyDescent="0.25">
      <c r="A4" s="11" t="s">
        <v>125</v>
      </c>
      <c r="B4" s="11"/>
      <c r="C4" s="11"/>
    </row>
    <row r="5" ht="20" customHeight="1" spans="1:3" x14ac:dyDescent="0.25">
      <c r="A5" s="64" t="s">
        <v>126</v>
      </c>
      <c r="B5" s="65">
        <v>10</v>
      </c>
      <c r="C5" s="66" t="s">
        <v>127</v>
      </c>
    </row>
    <row r="6" ht="8" customHeight="1" x14ac:dyDescent="0.25"/>
    <row r="7" ht="22" customHeight="1" spans="1:3" x14ac:dyDescent="0.25">
      <c r="A7" s="11" t="s">
        <v>128</v>
      </c>
      <c r="B7" s="11"/>
      <c r="C7" s="11"/>
    </row>
    <row r="8" ht="20" customHeight="1" spans="1:3" x14ac:dyDescent="0.25">
      <c r="A8" s="12" t="s">
        <v>129</v>
      </c>
      <c r="B8" s="38">
        <f>Paramètres!B5+IFERROR(Paramètres!B8,0)</f>
      </c>
      <c r="C8" s="67"/>
    </row>
    <row r="9" ht="20" customHeight="1" spans="1:3" x14ac:dyDescent="0.25">
      <c r="A9" s="5" t="s">
        <v>130</v>
      </c>
      <c r="B9" s="68">
        <f>Paramètres!B36</f>
      </c>
      <c r="C9" s="69"/>
    </row>
    <row r="10" ht="20" customHeight="1" spans="1:3" x14ac:dyDescent="0.25">
      <c r="A10" s="17" t="s">
        <v>131</v>
      </c>
      <c r="B10" s="18">
        <f>ROUND((Paramètres!B5+IFERROR(Paramètres!B8,0))*(1+Paramètres!B36)^B5,0)</f>
      </c>
      <c r="C10" s="19"/>
    </row>
    <row r="11" ht="8" customHeight="1" x14ac:dyDescent="0.25"/>
    <row r="12" ht="22" customHeight="1" spans="1:3" x14ac:dyDescent="0.25">
      <c r="A12" s="11" t="s">
        <v>132</v>
      </c>
      <c r="B12" s="11"/>
      <c r="C12" s="11"/>
    </row>
    <row r="13" ht="20" customHeight="1" spans="1:3" x14ac:dyDescent="0.25">
      <c r="A13" s="5" t="s">
        <v>133</v>
      </c>
      <c r="B13" s="37">
        <f>ROUND(Paramètres!B42*B5,0)</f>
      </c>
      <c r="C13" s="69"/>
    </row>
    <row r="14" ht="20" customHeight="1" spans="1:3" x14ac:dyDescent="0.25">
      <c r="A14" s="12" t="s">
        <v>134</v>
      </c>
      <c r="B14" s="38">
        <f>Paramètres!B5+IFERROR(Paramètres!B8,0)-B13</f>
      </c>
      <c r="C14" s="67"/>
    </row>
    <row r="15" ht="20" customHeight="1" spans="1:3" x14ac:dyDescent="0.25">
      <c r="A15" s="17" t="s">
        <v>135</v>
      </c>
      <c r="B15" s="18">
        <f>B10-B14</f>
      </c>
      <c r="C15" s="19"/>
    </row>
    <row r="16" ht="8" customHeight="1" x14ac:dyDescent="0.25"/>
    <row r="17" ht="22" customHeight="1" spans="1:3" x14ac:dyDescent="0.25">
      <c r="A17" s="11" t="s">
        <v>136</v>
      </c>
      <c r="B17" s="11"/>
      <c r="C17" s="11"/>
    </row>
    <row r="18" ht="20" customHeight="1" spans="1:3" x14ac:dyDescent="0.25">
      <c r="A18" s="70" t="s">
        <v>137</v>
      </c>
      <c r="B18" s="71">
        <f>IF(B15&gt;0,MIN(B15,Paramètres!B39)*Paramètres!B38+MAX(0,B15-Paramètres!B39)*Paramètres!B40,0)</f>
      </c>
      <c r="C18" s="72"/>
    </row>
    <row r="19" ht="20" customHeight="1" spans="1:3" x14ac:dyDescent="0.25">
      <c r="A19" s="17" t="s">
        <v>138</v>
      </c>
      <c r="B19" s="18">
        <f>B10-B18</f>
      </c>
      <c r="C19" s="19"/>
    </row>
    <row r="20" ht="8" customHeight="1" x14ac:dyDescent="0.25"/>
    <row r="21" ht="22" customHeight="1" spans="1:3" x14ac:dyDescent="0.25">
      <c r="A21" s="11" t="s">
        <v>139</v>
      </c>
      <c r="B21" s="11"/>
      <c r="C21" s="11"/>
    </row>
    <row r="22" ht="20" customHeight="1" spans="1:3" x14ac:dyDescent="0.25">
      <c r="A22" s="12" t="s">
        <v>140</v>
      </c>
      <c r="B22" s="38">
        <f>IFERROR(Paramètres!B14+CUMPRINC(Paramètres!B15/12,Paramètres!B16*12,Paramètres!B14,1,B5*12,0),0)</f>
      </c>
      <c r="C22" s="67"/>
    </row>
    <row r="23" ht="20" customHeight="1" spans="1:3" x14ac:dyDescent="0.25">
      <c r="A23" s="17" t="s">
        <v>141</v>
      </c>
      <c r="B23" s="18">
        <f>B19-B22</f>
      </c>
      <c r="C23" s="19"/>
    </row>
    <row r="24" ht="20" customHeight="1" spans="1:3" x14ac:dyDescent="0.25">
      <c r="A24" s="70" t="s">
        <v>142</v>
      </c>
      <c r="B24" s="71">
        <f>ROUND(MAX(0,B23-Paramètres!B13)*Paramètres!B41,0)</f>
      </c>
      <c r="C24" s="72"/>
    </row>
    <row r="25" ht="20" customHeight="1" spans="1:3" x14ac:dyDescent="0.25">
      <c r="A25" s="73" t="s">
        <v>143</v>
      </c>
      <c r="B25" s="74">
        <f>B23-B24</f>
      </c>
      <c r="C25" s="75"/>
    </row>
    <row r="26" ht="20" customHeight="1" spans="1:3" x14ac:dyDescent="0.25">
      <c r="A26" s="73" t="s">
        <v>144</v>
      </c>
      <c r="B26" s="74">
        <f>ROUND((B23-B24)/2,0)</f>
      </c>
      <c r="C26" s="75"/>
    </row>
    <row r="27" ht="20" customHeight="1" spans="1:3" x14ac:dyDescent="0.25">
      <c r="A27" s="73" t="s">
        <v>145</v>
      </c>
      <c r="B27" s="74">
        <f>ROUND((B23-B24)/2,0)</f>
      </c>
      <c r="C27" s="75"/>
    </row>
    <row r="28" ht="8" customHeight="1" x14ac:dyDescent="0.25"/>
    <row r="29" ht="22" customHeight="1" spans="1:3" x14ac:dyDescent="0.25">
      <c r="A29" s="11" t="s">
        <v>146</v>
      </c>
      <c r="B29" s="11"/>
      <c r="C29" s="11"/>
    </row>
    <row r="30" ht="20" customHeight="1" spans="1:3" x14ac:dyDescent="0.25">
      <c r="A30" s="12" t="s">
        <v>147</v>
      </c>
      <c r="B30" s="38">
        <f>ROUND(Paramètres!B25*B5,0)</f>
      </c>
      <c r="C30" s="67"/>
    </row>
    <row r="31" ht="20" customHeight="1" spans="1:3" x14ac:dyDescent="0.25">
      <c r="A31" s="73" t="s">
        <v>148</v>
      </c>
      <c r="B31" s="74">
        <f>B23-B24+B30</f>
      </c>
      <c r="C31" s="75"/>
    </row>
    <row r="32" ht="8" customHeight="1" x14ac:dyDescent="0.25"/>
    <row r="33" ht="40" customHeight="1" spans="1:3" x14ac:dyDescent="0.25">
      <c r="A33" s="8" t="s">
        <v>149</v>
      </c>
      <c r="B33" s="8"/>
      <c r="C33" s="8"/>
    </row>
  </sheetData>
  <mergeCells count="9">
    <mergeCell ref="A1:C1"/>
    <mergeCell ref="A2:C2"/>
    <mergeCell ref="A4:C4"/>
    <mergeCell ref="A7:C7"/>
    <mergeCell ref="A12:C12"/>
    <mergeCell ref="A17:C17"/>
    <mergeCell ref="A21:C21"/>
    <mergeCell ref="A29:C29"/>
    <mergeCell ref="A33:C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Présentation</vt:lpstr>
      <vt:lpstr>Paramètres</vt:lpstr>
      <vt:lpstr>Synthèse</vt:lpstr>
      <vt:lpstr>Prévisionnel 20 ans</vt:lpstr>
      <vt:lpstr>Amortissement</vt:lpstr>
      <vt:lpstr>Revente &amp; Plus-value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 L&amp;A</dc:creator>
  <dc:title/>
  <dc:subject/>
  <dc:description/>
  <cp:keywords/>
  <cp:category/>
  <cp:lastModifiedBy>SCI L&amp;A</cp:lastModifiedBy>
  <dcterms:created xsi:type="dcterms:W3CDTF">2026-03-11T07:08:34Z</dcterms:created>
  <dcterms:modified xsi:type="dcterms:W3CDTF">2026-03-11T07:08:34Z</dcterms:modified>
</cp:coreProperties>
</file>